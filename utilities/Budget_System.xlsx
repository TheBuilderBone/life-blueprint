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e System" sheetId="1" state="visible" r:id="rId1"/>
    <sheet name="Monthly Check-In" sheetId="2" state="visible" r:id="rId2"/>
    <sheet name="Per Utility" sheetId="3" state="visible" r:id="rId3"/>
    <sheet name="Bill Calendar" sheetId="4" state="visible" r:id="rId4"/>
    <sheet name="Category Rules" sheetId="5" state="visible" r:id="rId5"/>
    <sheet name="Transactions" sheetId="6" state="visible" r:id="rId6"/>
    <sheet name="Monthly Actua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&quot;$&quot;#,##0.00;[Red]-&quot;$&quot;#,##0.00"/>
    <numFmt numFmtId="167" formatCode="YYYY-MM-DD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64748B"/>
      <sz val="9"/>
    </font>
    <font>
      <name val="Calibri"/>
      <b val="1"/>
      <color rgb="00FFFFFF"/>
      <sz val="10"/>
    </font>
    <font>
      <name val="Calibri"/>
      <color rgb="001E293B"/>
      <sz val="10"/>
    </font>
    <font>
      <name val="Calibri"/>
      <b val="1"/>
      <color rgb="001E293B"/>
      <sz val="10"/>
    </font>
    <font>
      <name val="Calibri"/>
      <b val="1"/>
      <color rgb="002563EB"/>
      <sz val="10"/>
    </font>
    <font>
      <name val="Calibri"/>
      <i val="1"/>
      <color rgb="002563EB"/>
      <sz val="9"/>
    </font>
    <font>
      <name val="Calibri"/>
      <b val="1"/>
      <color rgb="00FFFFFF"/>
      <sz val="16"/>
    </font>
    <font>
      <name val="Calibri"/>
      <b val="1"/>
      <color rgb="00FFFFFF"/>
      <sz val="9"/>
    </font>
    <font>
      <name val="Calibri"/>
      <b val="1"/>
      <color rgb="001E293B"/>
      <sz val="9"/>
    </font>
    <font>
      <name val="Calibri"/>
      <color rgb="001E293B"/>
      <sz val="9"/>
    </font>
    <font>
      <name val="Calibri"/>
      <color rgb="002563EB"/>
      <sz val="9"/>
    </font>
    <font>
      <name val="Calibri"/>
      <color rgb="0016A34A"/>
      <sz val="9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64748B"/>
      <sz val="9"/>
    </font>
    <font>
      <name val="Calibri"/>
      <b val="1"/>
      <sz val="9"/>
    </font>
    <font>
      <name val="Calibri"/>
      <b val="1"/>
      <color rgb="002563EB"/>
      <sz val="9"/>
    </font>
    <font>
      <name val="Calibri"/>
      <color rgb="007C3AED"/>
      <sz val="9"/>
    </font>
    <font>
      <name val="Calibri"/>
      <color rgb="00D97706"/>
      <sz val="9"/>
    </font>
  </fonts>
  <fills count="2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EFF6FF"/>
      </patternFill>
    </fill>
    <fill>
      <patternFill patternType="solid">
        <fgColor rgb="002563EB"/>
      </patternFill>
    </fill>
    <fill>
      <patternFill patternType="solid">
        <fgColor rgb="00D97706"/>
      </patternFill>
    </fill>
    <fill>
      <patternFill patternType="solid">
        <fgColor rgb="0016A34A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7C3AED"/>
      </patternFill>
    </fill>
    <fill>
      <patternFill patternType="solid">
        <fgColor rgb="00EDE9FE"/>
      </patternFill>
    </fill>
    <fill>
      <patternFill patternType="solid">
        <fgColor rgb="00DBEAFE"/>
      </patternFill>
    </fill>
    <fill>
      <patternFill patternType="solid">
        <fgColor rgb="000EA5E9"/>
      </patternFill>
    </fill>
    <fill>
      <patternFill patternType="solid">
        <fgColor rgb="00F59E0B"/>
      </patternFill>
    </fill>
    <fill>
      <patternFill patternType="solid">
        <fgColor rgb="008B5CF6"/>
      </patternFill>
    </fill>
    <fill>
      <patternFill patternType="solid">
        <fgColor rgb="0010B981"/>
      </patternFill>
    </fill>
    <fill>
      <patternFill patternType="solid">
        <fgColor rgb="00334155"/>
      </patternFill>
    </fill>
    <fill>
      <patternFill patternType="solid">
        <f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0" fontId="2" fillId="4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0" fontId="0" fillId="5" borderId="0" pivotButton="0" quotePrefix="0" xfId="0"/>
    <xf numFmtId="0" fontId="0" fillId="4" borderId="0" pivotButton="0" quotePrefix="0" xfId="0"/>
    <xf numFmtId="0" fontId="3" fillId="6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164" fontId="4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3" fillId="7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/>
    </xf>
    <xf numFmtId="164" fontId="5" fillId="9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left" vertical="center" wrapText="1"/>
    </xf>
    <xf numFmtId="0" fontId="4" fillId="10" borderId="0" applyAlignment="1" pivotButton="0" quotePrefix="0" xfId="0">
      <alignment horizontal="left" vertical="center"/>
    </xf>
    <xf numFmtId="164" fontId="4" fillId="10" borderId="0" applyAlignment="1" pivotButton="0" quotePrefix="0" xfId="0">
      <alignment horizontal="right" vertical="center"/>
    </xf>
    <xf numFmtId="0" fontId="2" fillId="10" borderId="0" applyAlignment="1" pivotButton="0" quotePrefix="0" xfId="0">
      <alignment horizontal="left" vertical="center" wrapText="1"/>
    </xf>
    <xf numFmtId="0" fontId="5" fillId="10" borderId="0" applyAlignment="1" pivotButton="0" quotePrefix="0" xfId="0">
      <alignment horizontal="left" vertical="center"/>
    </xf>
    <xf numFmtId="164" fontId="5" fillId="10" borderId="0" applyAlignment="1" pivotButton="0" quotePrefix="0" xfId="0">
      <alignment horizontal="right" vertical="center"/>
    </xf>
    <xf numFmtId="0" fontId="0" fillId="10" borderId="0" pivotButton="0" quotePrefix="0" xfId="0"/>
    <xf numFmtId="0" fontId="3" fillId="11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left" vertical="center"/>
    </xf>
    <xf numFmtId="164" fontId="5" fillId="12" borderId="0" applyAlignment="1" pivotButton="0" quotePrefix="0" xfId="0">
      <alignment horizontal="right" vertical="center"/>
    </xf>
    <xf numFmtId="0" fontId="2" fillId="12" borderId="0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164" fontId="6" fillId="13" borderId="0" applyAlignment="1" pivotButton="0" quotePrefix="0" xfId="0">
      <alignment horizontal="right" vertical="center"/>
    </xf>
    <xf numFmtId="0" fontId="7" fillId="1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/>
    </xf>
    <xf numFmtId="164" fontId="5" fillId="3" borderId="0" applyAlignment="1" pivotButton="0" quotePrefix="0" xfId="0">
      <alignment horizontal="right" vertical="center"/>
    </xf>
    <xf numFmtId="165" fontId="5" fillId="1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164" fontId="5" fillId="4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center" vertical="center"/>
    </xf>
    <xf numFmtId="0" fontId="9" fillId="15" borderId="0" applyAlignment="1" pivotButton="0" quotePrefix="0" xfId="0">
      <alignment horizontal="center" vertical="center"/>
    </xf>
    <xf numFmtId="0" fontId="9" fillId="16" borderId="0" applyAlignment="1" pivotButton="0" quotePrefix="0" xfId="0">
      <alignment horizontal="center" vertical="center"/>
    </xf>
    <xf numFmtId="0" fontId="9" fillId="17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9" fillId="18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0" fillId="4" borderId="0" applyAlignment="1" pivotButton="0" quotePrefix="0" xfId="0">
      <alignment horizontal="center" vertical="center"/>
    </xf>
    <xf numFmtId="164" fontId="12" fillId="4" borderId="0" applyAlignment="1" pivotButton="0" quotePrefix="0" xfId="0">
      <alignment horizontal="center" vertical="center"/>
    </xf>
    <xf numFmtId="166" fontId="10" fillId="4" borderId="0" applyAlignment="1" pivotButton="0" quotePrefix="0" xfId="0">
      <alignment horizontal="center" vertical="center"/>
    </xf>
    <xf numFmtId="164" fontId="13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3" borderId="0" applyAlignment="1" pivotButton="0" quotePrefix="0" xfId="0">
      <alignment horizontal="center" vertical="center"/>
    </xf>
    <xf numFmtId="164" fontId="10" fillId="3" borderId="0" applyAlignment="1" pivotButton="0" quotePrefix="0" xfId="0">
      <alignment horizontal="center" vertical="center"/>
    </xf>
    <xf numFmtId="164" fontId="12" fillId="3" borderId="0" applyAlignment="1" pivotButton="0" quotePrefix="0" xfId="0">
      <alignment horizontal="center" vertical="center"/>
    </xf>
    <xf numFmtId="166" fontId="10" fillId="3" borderId="0" applyAlignment="1" pivotButton="0" quotePrefix="0" xfId="0">
      <alignment horizontal="center" vertical="center"/>
    </xf>
    <xf numFmtId="164" fontId="13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1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center" vertical="center"/>
    </xf>
    <xf numFmtId="164" fontId="16" fillId="4" borderId="0" applyAlignment="1" pivotButton="0" quotePrefix="0" xfId="0">
      <alignment horizontal="center" vertical="center"/>
    </xf>
    <xf numFmtId="166" fontId="11" fillId="4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166" fontId="11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164" fontId="17" fillId="3" borderId="0" applyAlignment="1" pivotButton="0" quotePrefix="0" xfId="0">
      <alignment horizontal="center" vertical="center"/>
    </xf>
    <xf numFmtId="166" fontId="17" fillId="3" borderId="0" applyAlignment="1" pivotButton="0" quotePrefix="0" xfId="0">
      <alignment horizontal="center" vertical="center"/>
    </xf>
    <xf numFmtId="0" fontId="15" fillId="15" borderId="0" applyAlignment="1" pivotButton="0" quotePrefix="0" xfId="0">
      <alignment horizontal="left" vertical="center"/>
    </xf>
    <xf numFmtId="0" fontId="15" fillId="16" borderId="0" applyAlignment="1" pivotButton="0" quotePrefix="0" xfId="0">
      <alignment horizontal="left" vertical="center"/>
    </xf>
    <xf numFmtId="0" fontId="15" fillId="17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left" vertical="center"/>
    </xf>
    <xf numFmtId="0" fontId="18" fillId="3" borderId="0" applyAlignment="1" pivotButton="0" quotePrefix="0" xfId="0">
      <alignment horizontal="left" vertical="center"/>
    </xf>
    <xf numFmtId="0" fontId="18" fillId="3" borderId="0" pivotButton="0" quotePrefix="0" xfId="0"/>
    <xf numFmtId="0" fontId="11" fillId="3" borderId="0" pivotButton="0" quotePrefix="0" xfId="0"/>
    <xf numFmtId="0" fontId="18" fillId="4" borderId="0" pivotButton="0" quotePrefix="0" xfId="0"/>
    <xf numFmtId="0" fontId="11" fillId="4" borderId="0" pivotButton="0" quotePrefix="0" xfId="0"/>
    <xf numFmtId="0" fontId="9" fillId="11" borderId="0" applyAlignment="1" pivotButton="0" quotePrefix="0" xfId="0">
      <alignment horizontal="center" vertical="center"/>
    </xf>
    <xf numFmtId="167" fontId="12" fillId="5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167" fontId="11" fillId="3" borderId="0" applyAlignment="1" pivotButton="0" quotePrefix="0" xfId="0">
      <alignment horizontal="center" vertical="center"/>
    </xf>
    <xf numFmtId="0" fontId="20" fillId="19" borderId="0" applyAlignment="1" pivotButton="0" quotePrefix="0" xfId="0">
      <alignment horizontal="center" vertical="center"/>
    </xf>
    <xf numFmtId="167" fontId="11" fillId="4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/>
    </xf>
    <xf numFmtId="164" fontId="19" fillId="3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left" vertical="center"/>
    </xf>
    <xf numFmtId="164" fontId="19" fillId="4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164" fontId="9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b val="1"/>
        <color rgb="00065F46"/>
        <sz val="9"/>
      </font>
      <fill>
        <patternFill patternType="solid">
          <fgColor rgb="00DCFCE7"/>
        </patternFill>
      </fill>
    </dxf>
    <dxf>
      <font>
        <name val="Calibri"/>
        <b val="1"/>
        <color rgb="00991B1B"/>
        <sz val="9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6858000" cy="3143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62</row>
      <rowOff>0</rowOff>
    </from>
    <ext cx="6858000" cy="3810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89</row>
      <rowOff>0</rowOff>
    </from>
    <ext cx="6477000" cy="2857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89</row>
      <rowOff>0</rowOff>
    </from>
    <ext cx="6477000" cy="2857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109</row>
      <rowOff>0</rowOff>
    </from>
    <ext cx="6477000" cy="2857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109</row>
      <rowOff>0</rowOff>
    </from>
    <ext cx="6477000" cy="2857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4" customWidth="1" min="3" max="3"/>
    <col width="36" customWidth="1" min="4" max="4"/>
  </cols>
  <sheetData>
    <row r="1" ht="40" customHeight="1">
      <c r="A1" s="1" t="inlineStr">
        <is>
          <t>THE SYSTEM — FIXED vs FLEX</t>
        </is>
      </c>
    </row>
    <row r="2" ht="18" customHeight="1">
      <c r="A2" s="2" t="inlineStr">
        <is>
          <t>Flex utilities run on 12 months of YOUR real data  ·  fixed bills run themselves</t>
        </is>
      </c>
    </row>
    <row r="4" ht="22" customHeight="1">
      <c r="A4" s="3" t="inlineStr">
        <is>
          <t>INCOME  (spendable)</t>
        </is>
      </c>
    </row>
    <row r="5" ht="20" customHeight="1">
      <c r="B5" s="4" t="inlineStr">
        <is>
          <t>Coca-Cola take-home</t>
        </is>
      </c>
      <c r="C5" s="5" t="n">
        <v>2560</v>
      </c>
      <c r="D5" s="6" t="inlineStr">
        <is>
          <t>Main job</t>
        </is>
      </c>
    </row>
    <row r="6" ht="20" customHeight="1">
      <c r="B6" s="4" t="inlineStr">
        <is>
          <t>Side work  ($15 × 8hr × 4d)</t>
        </is>
      </c>
      <c r="C6" s="5" t="n">
        <v>480</v>
      </c>
      <c r="D6" s="6" t="inlineStr">
        <is>
          <t>Variable — could flex up or down</t>
        </is>
      </c>
    </row>
    <row r="7" ht="20" customHeight="1">
      <c r="B7" s="4" t="inlineStr">
        <is>
          <t>Shane (rent + utility share)</t>
        </is>
      </c>
      <c r="C7" s="5" t="n">
        <v>628</v>
      </c>
      <c r="D7" s="6" t="inlineStr">
        <is>
          <t>⚠ AT RISK — see contingency below</t>
        </is>
      </c>
    </row>
    <row r="8" ht="20" customHeight="1">
      <c r="B8" s="7" t="inlineStr">
        <is>
          <t>TOTAL SPENDABLE</t>
        </is>
      </c>
      <c r="C8" s="8" t="n">
        <v>3668</v>
      </c>
      <c r="D8" s="9" t="n"/>
    </row>
    <row r="9" ht="20" customHeight="1">
      <c r="B9" s="4" t="inlineStr">
        <is>
          <t>Motus reimbursement  (~$372/mo)</t>
        </is>
      </c>
      <c r="C9" s="10" t="n"/>
      <c r="D9" s="6" t="inlineStr">
        <is>
          <t>NOT income — offsets commute gas; don't spend as fun money.</t>
        </is>
      </c>
    </row>
    <row r="10" ht="8" customHeight="1"/>
    <row r="11" ht="22" customHeight="1">
      <c r="A11" s="11" t="inlineStr">
        <is>
          <t>ACCOUNT 1 · FIXED  — auto-pay, set &amp; forget</t>
        </is>
      </c>
    </row>
    <row r="12" ht="20" customHeight="1">
      <c r="B12" s="12" t="inlineStr">
        <is>
          <t>Mortgage</t>
        </is>
      </c>
      <c r="C12" s="13" t="n">
        <v>837</v>
      </c>
      <c r="D12" s="14" t="n"/>
    </row>
    <row r="13" ht="20" customHeight="1">
      <c r="B13" s="4" t="inlineStr">
        <is>
          <t>House insurance</t>
        </is>
      </c>
      <c r="C13" s="5" t="n">
        <v>190</v>
      </c>
      <c r="D13" s="10" t="n"/>
    </row>
    <row r="14" ht="20" customHeight="1">
      <c r="B14" s="12" t="inlineStr">
        <is>
          <t>Auto insurance</t>
        </is>
      </c>
      <c r="C14" s="13" t="n">
        <v>79</v>
      </c>
      <c r="D14" s="14" t="n"/>
    </row>
    <row r="15" ht="20" customHeight="1">
      <c r="B15" s="4" t="inlineStr">
        <is>
          <t>Property tax  (set-aside)</t>
        </is>
      </c>
      <c r="C15" s="5" t="n">
        <v>54</v>
      </c>
      <c r="D15" s="10" t="n"/>
    </row>
    <row r="16" ht="20" customHeight="1">
      <c r="B16" s="12" t="inlineStr">
        <is>
          <t>Phone</t>
        </is>
      </c>
      <c r="C16" s="13" t="n">
        <v>55</v>
      </c>
      <c r="D16" s="14" t="n"/>
    </row>
    <row r="17" ht="20" customHeight="1">
      <c r="B17" s="7" t="inlineStr">
        <is>
          <t>FIXED TOTAL</t>
        </is>
      </c>
      <c r="C17" s="8" t="n">
        <v>1215</v>
      </c>
      <c r="D17" s="9" t="n"/>
    </row>
    <row r="18" ht="8" customHeight="1"/>
    <row r="19" ht="22" customHeight="1">
      <c r="A19" s="15" t="inlineStr">
        <is>
          <t>ACCOUNT 2 · FLEX  — fund $630 flat every month</t>
        </is>
      </c>
    </row>
    <row r="20" ht="20" customHeight="1">
      <c r="B20" s="12" t="inlineStr">
        <is>
          <t>Water  (avg + 1 SD, 12-mo data)</t>
        </is>
      </c>
      <c r="C20" s="13" t="n">
        <v>90</v>
      </c>
      <c r="D20" s="16" t="inlineStr">
        <is>
          <t>~$45 is a leak hedge — if leak confirmed fixed, drop to $45 and free $45/mo</t>
        </is>
      </c>
    </row>
    <row r="21" ht="20" customHeight="1">
      <c r="B21" s="4" t="inlineStr">
        <is>
          <t>Power  (avg + 1 SD — peaks Jan/Jul)</t>
        </is>
      </c>
      <c r="C21" s="5" t="n">
        <v>453</v>
      </c>
      <c r="D21" s="6" t="inlineStr">
        <is>
          <t>Strong seasonal pattern; flat funding + buffer absorbs swings</t>
        </is>
      </c>
    </row>
    <row r="22" ht="20" customHeight="1">
      <c r="B22" s="12" t="inlineStr">
        <is>
          <t>Internet  (hedge for promo expiry)</t>
        </is>
      </c>
      <c r="C22" s="13" t="n">
        <v>64</v>
      </c>
      <c r="D22" s="16" t="inlineStr">
        <is>
          <t>Currently $24.95/mo promo — ~$39/mo sweeps to savings until rate changes</t>
        </is>
      </c>
    </row>
    <row r="23" ht="20" customHeight="1">
      <c r="B23" s="4" t="inlineStr">
        <is>
          <t>Trash</t>
        </is>
      </c>
      <c r="C23" s="5" t="n">
        <v>23</v>
      </c>
      <c r="D23" s="10" t="n"/>
    </row>
    <row r="24" ht="20" customHeight="1">
      <c r="B24" s="7" t="inlineStr">
        <is>
          <t>UTILITIES SUBTOTAL  (fund flat)</t>
        </is>
      </c>
      <c r="C24" s="8" t="n">
        <v>630</v>
      </c>
      <c r="D24" s="9" t="n"/>
    </row>
    <row r="25" ht="20" customHeight="1">
      <c r="B25" s="12" t="inlineStr">
        <is>
          <t>Gas  (commute, est.)</t>
        </is>
      </c>
      <c r="C25" s="13" t="n">
        <v>430</v>
      </c>
      <c r="D25" s="16" t="inlineStr">
        <is>
          <t>Motus ~$372 offsets; real net gas ≈ $58</t>
        </is>
      </c>
    </row>
    <row r="26" ht="20" customHeight="1">
      <c r="B26" s="4" t="inlineStr">
        <is>
          <t>Groceries  (est.)</t>
        </is>
      </c>
      <c r="C26" s="5" t="n">
        <v>400</v>
      </c>
      <c r="D26" s="10" t="n"/>
    </row>
    <row r="27" ht="20" customHeight="1">
      <c r="B27" s="7" t="inlineStr">
        <is>
          <t>FLEX TOTAL</t>
        </is>
      </c>
      <c r="C27" s="8" t="n">
        <v>1460</v>
      </c>
      <c r="D27" s="9" t="n"/>
    </row>
    <row r="28" ht="20" customHeight="1">
      <c r="B28" s="12" t="inlineStr">
        <is>
          <t>⚓  Standing buffer  (never sweep)</t>
        </is>
      </c>
      <c r="C28" s="13" t="n">
        <v>167.63</v>
      </c>
      <c r="D28" s="16" t="inlineStr">
        <is>
          <t>Absorbs worst single month across all utilities simultaneously</t>
        </is>
      </c>
    </row>
    <row r="29" ht="8" customHeight="1"/>
    <row r="30" ht="22" customHeight="1">
      <c r="A30" s="17" t="inlineStr">
        <is>
          <t>LEFTOVER  →  splits to savings + spending</t>
        </is>
      </c>
    </row>
    <row r="31" ht="20" customHeight="1">
      <c r="B31" s="7" t="inlineStr">
        <is>
          <t>Leftover after fixed + flex</t>
        </is>
      </c>
      <c r="C31" s="8" t="n">
        <v>993</v>
      </c>
      <c r="D31" s="9" t="n"/>
    </row>
    <row r="32" ht="20" customHeight="1">
      <c r="B32" s="18" t="inlineStr">
        <is>
          <t>⚠  If Shane's $628 stops → leftover</t>
        </is>
      </c>
      <c r="C32" s="19" t="n">
        <v>365</v>
      </c>
      <c r="D32" s="20" t="inlineStr">
        <is>
          <t>PLAN AROUND THIS NUMBER  ·  treat Shane's $628 as a savings bonus if it comes</t>
        </is>
      </c>
    </row>
    <row r="33" ht="8" customHeight="1"/>
    <row r="34" ht="22" customHeight="1">
      <c r="A34" s="3" t="inlineStr">
        <is>
          <t>ACCOUNTS 3 + 4 · SPENDING + SAVINGS</t>
        </is>
      </c>
    </row>
    <row r="35" ht="20" customHeight="1">
      <c r="B35" s="12" t="inlineStr">
        <is>
          <t>SPENDING — AOD card  (monthly load)</t>
        </is>
      </c>
      <c r="C35" s="13" t="n">
        <v>500</v>
      </c>
      <c r="D35" s="16" t="inlineStr">
        <is>
          <t>Only card in your wallet. Balance = your tracker. Lower this to save more.</t>
        </is>
      </c>
    </row>
    <row r="36" ht="20" customHeight="1">
      <c r="B36" s="21" t="inlineStr">
        <is>
          <t>SAVINGS — SoFi Vaults  (what's left)</t>
        </is>
      </c>
      <c r="C36" s="22" t="n">
        <v>493</v>
      </c>
      <c r="D36" s="23" t="inlineStr">
        <is>
          <t>Emergency Fund + Move/Career Fund  ·  paid FIRST on payday</t>
        </is>
      </c>
    </row>
    <row r="37" ht="8" customHeight="1"/>
    <row r="38" ht="22" customHeight="1">
      <c r="A38" s="17" t="inlineStr">
        <is>
          <t>BUILT-IN PADDING (sweeps to savings automatically)</t>
        </is>
      </c>
    </row>
    <row r="39" ht="20" customHeight="1">
      <c r="B39" s="12" t="inlineStr">
        <is>
          <t>Water leak hedge  (if leak fixed, reclaim)</t>
        </is>
      </c>
      <c r="C39" s="13" t="n">
        <v>45</v>
      </c>
      <c r="D39" s="16" t="inlineStr">
        <is>
          <t>Run: python analyze.py exclude Water 2026-04 / 2026-06 to recalculate</t>
        </is>
      </c>
    </row>
    <row r="40" ht="20" customHeight="1">
      <c r="B40" s="4" t="inlineStr">
        <is>
          <t>Internet promo surplus  (~$39/mo right now)</t>
        </is>
      </c>
      <c r="C40" s="5" t="n">
        <v>39</v>
      </c>
      <c r="D40" s="6" t="inlineStr">
        <is>
          <t>Sweeps automatically until rate changes</t>
        </is>
      </c>
    </row>
    <row r="41" ht="20" customHeight="1">
      <c r="B41" s="24" t="inlineStr">
        <is>
          <t>Hidden savings in flex (approx.)</t>
        </is>
      </c>
      <c r="C41" s="25" t="n">
        <v>84</v>
      </c>
      <c r="D41" s="26" t="n"/>
    </row>
    <row r="42" ht="8" customHeight="1"/>
    <row r="43" ht="22" customHeight="1">
      <c r="A43" s="27" t="inlineStr">
        <is>
          <t>SELF-EMPLOYMENT TAX RESERVE  (1099 side work)</t>
        </is>
      </c>
    </row>
    <row r="44" ht="20" customHeight="1">
      <c r="B44" s="12" t="inlineStr">
        <is>
          <t>Side work gross  (from income above)</t>
        </is>
      </c>
      <c r="C44" s="13" t="n">
        <v>480</v>
      </c>
      <c r="D44" s="16" t="inlineStr">
        <is>
          <t>1099 — no taxes withheld; this must come out before you touch the money</t>
        </is>
      </c>
    </row>
    <row r="45" ht="20" customHeight="1">
      <c r="B45" s="28" t="inlineStr">
        <is>
          <t>Monthly reserve  (28% — SE tax 15.3% + income tax est.)</t>
        </is>
      </c>
      <c r="C45" s="29" t="n">
        <v>134.4</v>
      </c>
      <c r="D45" s="30" t="inlineStr">
        <is>
          <t>Transfer on every payday before spending any side income</t>
        </is>
      </c>
    </row>
    <row r="46" ht="20" customHeight="1">
      <c r="B46" s="12" t="inlineStr">
        <is>
          <t>True spendable from side work</t>
        </is>
      </c>
      <c r="C46" s="13" t="n">
        <v>345.6</v>
      </c>
      <c r="D46" s="16" t="inlineStr">
        <is>
          <t>What's actually yours after the tax reserve is parked</t>
        </is>
      </c>
    </row>
    <row r="47" ht="8" customHeight="1"/>
    <row r="48" ht="22" customHeight="1">
      <c r="A48" s="15" t="inlineStr">
        <is>
          <t>SINKING FUNDS  — annual / irregular costs ÷ 12</t>
        </is>
      </c>
    </row>
    <row r="49" ht="20" customHeight="1">
      <c r="B49" s="12" t="inlineStr">
        <is>
          <t>Truck maintenance  (1999 Silverado, self-maintained)</t>
        </is>
      </c>
      <c r="C49" s="13" t="n">
        <v>75</v>
      </c>
      <c r="D49" s="16" t="inlineStr">
        <is>
          <t>~$900/yr est. · adjust to your history</t>
        </is>
      </c>
    </row>
    <row r="50" ht="20" customHeight="1">
      <c r="B50" s="4" t="inlineStr">
        <is>
          <t>Vehicle registration  (AL, annual)</t>
        </is>
      </c>
      <c r="C50" s="5" t="n">
        <v>17</v>
      </c>
      <c r="D50" s="6" t="inlineStr">
        <is>
          <t>~$200/yr ÷ 12</t>
        </is>
      </c>
    </row>
    <row r="51" ht="20" customHeight="1">
      <c r="B51" s="12" t="inlineStr">
        <is>
          <t>Annual insurance premiums  (if any lump-sum)</t>
        </is>
      </c>
      <c r="C51" s="13" t="n">
        <v>0</v>
      </c>
      <c r="D51" s="16" t="inlineStr">
        <is>
          <t>$0 if already paying monthly — update if any biller charges annually</t>
        </is>
      </c>
    </row>
    <row r="52" ht="20" customHeight="1">
      <c r="B52" s="7" t="inlineStr">
        <is>
          <t>SINKING TOTAL  — set aside monthly</t>
        </is>
      </c>
      <c r="C52" s="8" t="n">
        <v>92</v>
      </c>
      <c r="D52" s="31" t="inlineStr">
        <is>
          <t>Park in a labeled savings vault; pull from it when the bill hits</t>
        </is>
      </c>
    </row>
    <row r="53" ht="8" customHeight="1"/>
    <row r="54" ht="22" customHeight="1">
      <c r="A54" s="11" t="inlineStr">
        <is>
          <t>INCOME TRAJECTORY  — current effective wage → target</t>
        </is>
      </c>
    </row>
    <row r="55" ht="20" customHeight="1">
      <c r="B55" s="12" t="inlineStr">
        <is>
          <t>Current effective wage  (50hr wk + 7hr commute)</t>
        </is>
      </c>
      <c r="C55" s="32" t="n">
        <v>11.81</v>
      </c>
      <c r="D55" s="16" t="inlineStr">
        <is>
          <t>$2,560 take-home ÷ ~217 hrs/mo (50hr work + 7hr commute = ~7hr/day)</t>
        </is>
      </c>
    </row>
    <row r="56" ht="20" customHeight="1">
      <c r="B56" s="4" t="inlineStr">
        <is>
          <t>Current monthly take-home  (Coke only)</t>
        </is>
      </c>
      <c r="C56" s="5" t="n">
        <v>2560</v>
      </c>
      <c r="D56" s="6" t="inlineStr">
        <is>
          <t>Baseline — side work net is on top of this</t>
        </is>
      </c>
    </row>
    <row r="57" ht="20" customHeight="1">
      <c r="B57" s="12" t="inlineStr">
        <is>
          <t>Target wage after retraining  ($20–25/hr, $22 midpoint)</t>
        </is>
      </c>
      <c r="C57" s="32" t="n">
        <v>22</v>
      </c>
      <c r="D57" s="16" t="inlineStr">
        <is>
          <t>Midpoint of stated $20–25/hr range</t>
        </is>
      </c>
    </row>
    <row r="58" ht="20" customHeight="1">
      <c r="B58" s="4" t="inlineStr">
        <is>
          <t>Est. take-home at $22/hr  (40hr/wk, ~72% net)</t>
        </is>
      </c>
      <c r="C58" s="5" t="n">
        <v>2745.6</v>
      </c>
      <c r="D58" s="6" t="inlineStr">
        <is>
          <t>Rough estimate — actual varies by deductions</t>
        </is>
      </c>
    </row>
    <row r="59" ht="20" customHeight="1">
      <c r="B59" s="24" t="inlineStr">
        <is>
          <t>Monthly income gain at target</t>
        </is>
      </c>
      <c r="C59" s="25" t="n">
        <v>185.6</v>
      </c>
      <c r="D59" s="23" t="inlineStr">
        <is>
          <t>Extra per month once you land the better role</t>
        </is>
      </c>
    </row>
    <row r="60" ht="8" customHeight="1"/>
    <row r="61" ht="22" customHeight="1">
      <c r="A61" s="17" t="inlineStr">
        <is>
          <t>SAVINGS GOALS  (sequential — ① Emergency Fund first)</t>
        </is>
      </c>
    </row>
    <row r="62" ht="22" customHeight="1">
      <c r="A62" s="33" t="inlineStr">
        <is>
          <t>Current savings balance  ← UPDATE THIS INPUT</t>
        </is>
      </c>
      <c r="C62" s="34" t="n">
        <v>502.15</v>
      </c>
      <c r="D62" s="35" t="inlineStr">
        <is>
          <t>Blue = input cell  ·  enter your actual savings balance here</t>
        </is>
      </c>
    </row>
    <row r="63" ht="6" customHeight="1"/>
    <row r="64" ht="20" customHeight="1">
      <c r="B64" s="36" t="inlineStr">
        <is>
          <t>① EMERGENCY FUND — target</t>
        </is>
      </c>
      <c r="C64" s="37" t="n">
        <v>7000</v>
      </c>
      <c r="D64" s="14" t="n"/>
    </row>
    <row r="65" ht="20" customHeight="1">
      <c r="B65" s="12" t="inlineStr">
        <is>
          <t xml:space="preserve">   Current  (from balance above)</t>
        </is>
      </c>
      <c r="C65" s="13">
        <f>MIN(C62,7000)</f>
        <v/>
      </c>
      <c r="D65" s="14" t="n"/>
    </row>
    <row r="66" ht="20" customHeight="1">
      <c r="B66" s="12" t="inlineStr">
        <is>
          <t xml:space="preserve">   Remaining</t>
        </is>
      </c>
      <c r="C66" s="13">
        <f>MAX(0,C64-C65)</f>
        <v/>
      </c>
      <c r="D66" s="14" t="n"/>
    </row>
    <row r="67" ht="20" customHeight="1">
      <c r="B67" s="24" t="inlineStr">
        <is>
          <t xml:space="preserve">   % Complete</t>
        </is>
      </c>
      <c r="C67" s="38">
        <f>IFERROR(C65/C64,0)</f>
        <v/>
      </c>
      <c r="D67" s="26" t="n"/>
    </row>
    <row r="68" ht="6" customHeight="1"/>
    <row r="69" ht="20" customHeight="1">
      <c r="B69" s="39" t="inlineStr">
        <is>
          <t>② SEPTIC FUND — target  (starts after EF hits $7,000)</t>
        </is>
      </c>
      <c r="C69" s="40" t="n">
        <v>7285</v>
      </c>
      <c r="D69" s="10" t="n"/>
    </row>
    <row r="70" ht="20" customHeight="1">
      <c r="B70" s="4" t="inlineStr">
        <is>
          <t xml:space="preserve">   Current  (balance above − $7,000 EF)</t>
        </is>
      </c>
      <c r="C70" s="5">
        <f>MAX(0,C62-7000)</f>
        <v/>
      </c>
      <c r="D70" s="10" t="n"/>
    </row>
    <row r="71" ht="20" customHeight="1">
      <c r="B71" s="12" t="inlineStr">
        <is>
          <t xml:space="preserve">   Remaining</t>
        </is>
      </c>
      <c r="C71" s="13">
        <f>MAX(0,C69-C70)</f>
        <v/>
      </c>
      <c r="D71" s="14" t="n"/>
    </row>
    <row r="72" ht="20" customHeight="1">
      <c r="B72" s="24" t="inlineStr">
        <is>
          <t xml:space="preserve">   % Complete</t>
        </is>
      </c>
      <c r="C72" s="38">
        <f>IFERROR(C70/C69,0)</f>
        <v/>
      </c>
      <c r="D72" s="26" t="n"/>
    </row>
    <row r="73" ht="8" customHeight="1"/>
    <row r="74" ht="22" customHeight="1">
      <c r="A74" s="3" t="inlineStr">
        <is>
          <t>REVISED MONTHLY PICTURE  (after tax reserve + sinking funds)</t>
        </is>
      </c>
    </row>
    <row r="75" ht="20" customHeight="1">
      <c r="B75" s="12" t="inlineStr">
        <is>
          <t>Gross leftover  (after fixed + flex)</t>
        </is>
      </c>
      <c r="C75" s="13" t="n">
        <v>993</v>
      </c>
      <c r="D75" s="14" t="n"/>
    </row>
    <row r="76" ht="20" customHeight="1">
      <c r="B76" s="4" t="inlineStr">
        <is>
          <t xml:space="preserve">  Less: SE tax reserve</t>
        </is>
      </c>
      <c r="C76" s="5" t="n">
        <v>-134.4</v>
      </c>
      <c r="D76" s="10" t="n"/>
    </row>
    <row r="77" ht="20" customHeight="1">
      <c r="B77" s="12" t="inlineStr">
        <is>
          <t xml:space="preserve">  Less: sinking funds</t>
        </is>
      </c>
      <c r="C77" s="13" t="n">
        <v>-92</v>
      </c>
      <c r="D77" s="14" t="n"/>
    </row>
    <row r="78" ht="20" customHeight="1">
      <c r="B78" s="7" t="inlineStr">
        <is>
          <t>TRUE MONTHLY AVAILABLE</t>
        </is>
      </c>
      <c r="C78" s="8" t="n">
        <v>766.6</v>
      </c>
      <c r="D78" s="9" t="n"/>
    </row>
    <row r="79" ht="20" customHeight="1">
      <c r="B79" s="18" t="inlineStr">
        <is>
          <t xml:space="preserve">  If Shane's $628 stops → true available</t>
        </is>
      </c>
      <c r="C79" s="19" t="n">
        <v>138.6</v>
      </c>
      <c r="D79" s="20" t="inlineStr">
        <is>
          <t>Hard number — build the system around this floor</t>
        </is>
      </c>
    </row>
  </sheetData>
  <mergeCells count="14">
    <mergeCell ref="A1:D1"/>
    <mergeCell ref="A62:B62"/>
    <mergeCell ref="A61:D61"/>
    <mergeCell ref="A74:D74"/>
    <mergeCell ref="A34:D34"/>
    <mergeCell ref="A4:D4"/>
    <mergeCell ref="A48:D48"/>
    <mergeCell ref="A30:D30"/>
    <mergeCell ref="A38:D38"/>
    <mergeCell ref="A54:D54"/>
    <mergeCell ref="A43:D43"/>
    <mergeCell ref="A19:D19"/>
    <mergeCell ref="A11:D1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1" customWidth="1" min="4" max="4"/>
    <col width="9" customWidth="1" min="5" max="5"/>
    <col width="13" customWidth="1" min="6" max="6"/>
    <col width="10" customWidth="1" min="7" max="7"/>
    <col width="14" customWidth="1" min="8" max="8"/>
    <col width="14" customWidth="1" min="9" max="9"/>
    <col width="13" customWidth="1" min="10" max="10"/>
    <col width="22" customWidth="1" min="11" max="11"/>
  </cols>
  <sheetData>
    <row r="1" ht="34" customHeight="1">
      <c r="A1" s="41" t="inlineStr">
        <is>
          <t>MONTHLY CHECK-IN &amp; SWEEP LOG</t>
        </is>
      </c>
    </row>
    <row r="2" ht="18" customHeight="1">
      <c r="A2" s="2" t="inlineStr">
        <is>
          <t>Fund $630 flat every month · fill in actual bills · green = surplus sweep to savings · red = buffer drawn</t>
        </is>
      </c>
    </row>
    <row r="4" ht="28" customHeight="1">
      <c r="A4" s="42" t="inlineStr">
        <is>
          <t>Month</t>
        </is>
      </c>
      <c r="B4" s="43" t="inlineStr">
        <is>
          <t>Water</t>
        </is>
      </c>
      <c r="C4" s="44" t="inlineStr">
        <is>
          <t>Power</t>
        </is>
      </c>
      <c r="D4" s="45" t="inlineStr">
        <is>
          <t>Internet</t>
        </is>
      </c>
      <c r="E4" s="46" t="inlineStr">
        <is>
          <t>Trash</t>
        </is>
      </c>
      <c r="F4" s="42" t="inlineStr">
        <is>
          <t>Total Actual</t>
        </is>
      </c>
      <c r="G4" s="47" t="inlineStr">
        <is>
          <t>Funded</t>
        </is>
      </c>
      <c r="H4" s="48" t="inlineStr">
        <is>
          <t>Net  (+/−)</t>
        </is>
      </c>
      <c r="I4" s="49" t="inlineStr">
        <is>
          <t>Buffer Bal</t>
        </is>
      </c>
      <c r="J4" s="50" t="inlineStr">
        <is>
          <t>→ Savings</t>
        </is>
      </c>
      <c r="K4" s="42" t="inlineStr">
        <is>
          <t>Notes</t>
        </is>
      </c>
    </row>
    <row r="5" ht="20" customHeight="1">
      <c r="A5" s="51" t="inlineStr">
        <is>
          <t>Jun '25</t>
        </is>
      </c>
      <c r="B5" s="52" t="n">
        <v>22.5</v>
      </c>
      <c r="C5" s="52" t="n">
        <v>368.62</v>
      </c>
      <c r="D5" s="52" t="n">
        <v>42.97</v>
      </c>
      <c r="E5" s="52" t="n">
        <v>21.37</v>
      </c>
      <c r="F5" s="53" t="n">
        <v>455.46</v>
      </c>
      <c r="G5" s="54" t="n">
        <v>630</v>
      </c>
      <c r="H5" s="55" t="n">
        <v>174.54</v>
      </c>
      <c r="I5" s="52" t="n">
        <v>167.63</v>
      </c>
      <c r="J5" s="56" t="n">
        <v>174.54</v>
      </c>
      <c r="K5" s="57" t="n"/>
    </row>
    <row r="6" ht="20" customHeight="1">
      <c r="A6" s="58" t="inlineStr">
        <is>
          <t>Jul '25</t>
        </is>
      </c>
      <c r="B6" s="59" t="n">
        <v>28.32</v>
      </c>
      <c r="C6" s="59" t="n">
        <v>440.17</v>
      </c>
      <c r="D6" s="59" t="n">
        <v>42.98</v>
      </c>
      <c r="E6" s="59" t="n">
        <v>24.77</v>
      </c>
      <c r="F6" s="60" t="n">
        <v>536.24</v>
      </c>
      <c r="G6" s="61" t="n">
        <v>630</v>
      </c>
      <c r="H6" s="62" t="n">
        <v>93.76000000000001</v>
      </c>
      <c r="I6" s="59" t="n">
        <v>167.63</v>
      </c>
      <c r="J6" s="63" t="n">
        <v>93.76000000000001</v>
      </c>
      <c r="K6" s="2" t="n"/>
    </row>
    <row r="7" ht="20" customHeight="1">
      <c r="A7" s="51" t="inlineStr">
        <is>
          <t>Aug '25</t>
        </is>
      </c>
      <c r="B7" s="52" t="n">
        <v>24.35</v>
      </c>
      <c r="C7" s="52" t="n">
        <v>429.27</v>
      </c>
      <c r="D7" s="52" t="n">
        <v>42.98</v>
      </c>
      <c r="E7" s="52" t="n"/>
      <c r="F7" s="53" t="n">
        <v>496.6</v>
      </c>
      <c r="G7" s="54" t="n">
        <v>630</v>
      </c>
      <c r="H7" s="55" t="n">
        <v>133.4</v>
      </c>
      <c r="I7" s="52" t="n">
        <v>167.63</v>
      </c>
      <c r="J7" s="56" t="n">
        <v>133.4</v>
      </c>
      <c r="K7" s="57" t="n"/>
    </row>
    <row r="8" ht="20" customHeight="1">
      <c r="A8" s="58" t="inlineStr">
        <is>
          <t>Sep '25</t>
        </is>
      </c>
      <c r="B8" s="59" t="n">
        <v>33.54</v>
      </c>
      <c r="C8" s="59" t="n">
        <v>381.57</v>
      </c>
      <c r="D8" s="59" t="n">
        <v>63.03</v>
      </c>
      <c r="E8" s="59" t="n">
        <v>21.37</v>
      </c>
      <c r="F8" s="60" t="n">
        <v>499.51</v>
      </c>
      <c r="G8" s="61" t="n">
        <v>630</v>
      </c>
      <c r="H8" s="62" t="n">
        <v>130.49</v>
      </c>
      <c r="I8" s="59" t="n">
        <v>167.63</v>
      </c>
      <c r="J8" s="63" t="n">
        <v>130.49</v>
      </c>
      <c r="K8" s="2" t="n"/>
    </row>
    <row r="9" ht="20" customHeight="1">
      <c r="A9" s="51" t="inlineStr">
        <is>
          <t>Oct '25</t>
        </is>
      </c>
      <c r="B9" s="52" t="n">
        <v>35.97</v>
      </c>
      <c r="C9" s="52" t="n">
        <v>248.35</v>
      </c>
      <c r="D9" s="52" t="n">
        <v>63.03</v>
      </c>
      <c r="E9" s="52" t="n">
        <v>21.37</v>
      </c>
      <c r="F9" s="53" t="n">
        <v>368.72</v>
      </c>
      <c r="G9" s="54" t="n">
        <v>630</v>
      </c>
      <c r="H9" s="55" t="n">
        <v>261.28</v>
      </c>
      <c r="I9" s="52" t="n">
        <v>167.63</v>
      </c>
      <c r="J9" s="56" t="n">
        <v>261.28</v>
      </c>
      <c r="K9" s="57" t="n"/>
    </row>
    <row r="10" ht="20" customHeight="1">
      <c r="A10" s="58" t="inlineStr">
        <is>
          <t>Nov '25</t>
        </is>
      </c>
      <c r="B10" s="59" t="n">
        <v>35.97</v>
      </c>
      <c r="C10" s="59" t="n">
        <v>264.5</v>
      </c>
      <c r="D10" s="59" t="n">
        <v>63.03</v>
      </c>
      <c r="E10" s="59" t="n">
        <v>21.37</v>
      </c>
      <c r="F10" s="60" t="n">
        <v>384.87</v>
      </c>
      <c r="G10" s="61" t="n">
        <v>630</v>
      </c>
      <c r="H10" s="62" t="n">
        <v>245.13</v>
      </c>
      <c r="I10" s="59" t="n">
        <v>167.63</v>
      </c>
      <c r="J10" s="63" t="n">
        <v>245.13</v>
      </c>
      <c r="K10" s="2" t="n"/>
    </row>
    <row r="11" ht="20" customHeight="1">
      <c r="A11" s="51" t="inlineStr">
        <is>
          <t>Dec '25</t>
        </is>
      </c>
      <c r="B11" s="52" t="n">
        <v>44.13</v>
      </c>
      <c r="C11" s="52" t="n">
        <v>415.04</v>
      </c>
      <c r="D11" s="52" t="n">
        <v>63.03</v>
      </c>
      <c r="E11" s="52" t="n">
        <v>21.37</v>
      </c>
      <c r="F11" s="53" t="n">
        <v>543.5700000000001</v>
      </c>
      <c r="G11" s="54" t="n">
        <v>630</v>
      </c>
      <c r="H11" s="55" t="n">
        <v>86.43000000000001</v>
      </c>
      <c r="I11" s="52" t="n">
        <v>167.63</v>
      </c>
      <c r="J11" s="56" t="n">
        <v>86.43000000000001</v>
      </c>
      <c r="K11" s="57" t="n"/>
    </row>
    <row r="12" ht="20" customHeight="1">
      <c r="A12" s="58" t="inlineStr">
        <is>
          <t>Jan '26</t>
        </is>
      </c>
      <c r="B12" s="59" t="n">
        <v>40.52</v>
      </c>
      <c r="C12" s="59" t="n">
        <v>541.9</v>
      </c>
      <c r="D12" s="59" t="n">
        <v>24.95</v>
      </c>
      <c r="E12" s="59" t="n">
        <v>22.01</v>
      </c>
      <c r="F12" s="60" t="n">
        <v>629.38</v>
      </c>
      <c r="G12" s="61" t="n">
        <v>630</v>
      </c>
      <c r="H12" s="62" t="n">
        <v>0.62</v>
      </c>
      <c r="I12" s="59" t="n">
        <v>167.63</v>
      </c>
      <c r="J12" s="63" t="n">
        <v>0.62</v>
      </c>
      <c r="K12" s="2" t="n"/>
    </row>
    <row r="13" ht="20" customHeight="1">
      <c r="A13" s="51" t="inlineStr">
        <is>
          <t>Feb '26</t>
        </is>
      </c>
      <c r="B13" s="52" t="n">
        <v>31.02</v>
      </c>
      <c r="C13" s="52" t="n">
        <v>388.23</v>
      </c>
      <c r="D13" s="52" t="n">
        <v>24.95</v>
      </c>
      <c r="E13" s="52" t="n">
        <v>22.01</v>
      </c>
      <c r="F13" s="53" t="n">
        <v>466.21</v>
      </c>
      <c r="G13" s="54" t="n">
        <v>630</v>
      </c>
      <c r="H13" s="55" t="n">
        <v>163.79</v>
      </c>
      <c r="I13" s="52" t="n">
        <v>167.63</v>
      </c>
      <c r="J13" s="56" t="n">
        <v>163.79</v>
      </c>
      <c r="K13" s="57" t="n"/>
    </row>
    <row r="14" ht="20" customHeight="1">
      <c r="A14" s="58" t="inlineStr">
        <is>
          <t>Mar '26</t>
        </is>
      </c>
      <c r="B14" s="59" t="n">
        <v>39.61</v>
      </c>
      <c r="C14" s="59" t="n">
        <v>226.71</v>
      </c>
      <c r="D14" s="59" t="n">
        <v>24.95</v>
      </c>
      <c r="E14" s="59" t="n">
        <v>22.01</v>
      </c>
      <c r="F14" s="60" t="n">
        <v>313.28</v>
      </c>
      <c r="G14" s="61" t="n">
        <v>630</v>
      </c>
      <c r="H14" s="62" t="n">
        <v>316.72</v>
      </c>
      <c r="I14" s="59" t="n">
        <v>167.63</v>
      </c>
      <c r="J14" s="63" t="n">
        <v>316.72</v>
      </c>
      <c r="K14" s="2" t="n"/>
    </row>
    <row r="15" ht="20" customHeight="1">
      <c r="A15" s="51" t="inlineStr">
        <is>
          <t>Apr '26</t>
        </is>
      </c>
      <c r="B15" s="52" t="n">
        <v>86.5</v>
      </c>
      <c r="C15" s="52" t="n">
        <v>206.01</v>
      </c>
      <c r="D15" s="52" t="n">
        <v>24.95</v>
      </c>
      <c r="E15" s="52" t="n">
        <v>22.01</v>
      </c>
      <c r="F15" s="53" t="n">
        <v>339.47</v>
      </c>
      <c r="G15" s="54" t="n">
        <v>630</v>
      </c>
      <c r="H15" s="55" t="n">
        <v>290.53</v>
      </c>
      <c r="I15" s="52" t="n">
        <v>167.63</v>
      </c>
      <c r="J15" s="56" t="n">
        <v>290.53</v>
      </c>
      <c r="K15" s="57" t="n"/>
    </row>
    <row r="16" ht="20" customHeight="1">
      <c r="A16" s="58" t="inlineStr">
        <is>
          <t>May '26</t>
        </is>
      </c>
      <c r="B16" s="59" t="n"/>
      <c r="C16" s="59" t="n"/>
      <c r="D16" s="59" t="n"/>
      <c r="E16" s="59" t="n"/>
      <c r="F16" s="60">
        <f>IF(COUNTA(B16:E16)=0,"",SUM(B16:E16))</f>
        <v/>
      </c>
      <c r="G16" s="61" t="n">
        <v>630</v>
      </c>
      <c r="H16" s="62">
        <f>IF(F16="","",G16-F16)</f>
        <v/>
      </c>
      <c r="I16" s="59" t="n">
        <v>167.63</v>
      </c>
      <c r="J16" s="63" t="n"/>
      <c r="K16" s="2" t="n"/>
    </row>
    <row r="17" ht="20" customHeight="1">
      <c r="A17" s="51" t="inlineStr">
        <is>
          <t>Jun '26</t>
        </is>
      </c>
      <c r="B17" s="52" t="n">
        <v>166.96</v>
      </c>
      <c r="C17" s="52" t="n">
        <v>220.59</v>
      </c>
      <c r="D17" s="52" t="n">
        <v>24.95</v>
      </c>
      <c r="E17" s="52" t="n">
        <v>22.01</v>
      </c>
      <c r="F17" s="53" t="n">
        <v>434.51</v>
      </c>
      <c r="G17" s="54" t="n">
        <v>630</v>
      </c>
      <c r="H17" s="55" t="n">
        <v>195.49</v>
      </c>
      <c r="I17" s="52" t="n">
        <v>167.63</v>
      </c>
      <c r="J17" s="56" t="n">
        <v>195.49</v>
      </c>
      <c r="K17" s="57" t="n"/>
    </row>
    <row r="18" ht="20" customHeight="1">
      <c r="A18" s="58" t="inlineStr">
        <is>
          <t>Jul '26</t>
        </is>
      </c>
      <c r="B18" s="59" t="n"/>
      <c r="C18" s="59" t="n"/>
      <c r="D18" s="59" t="n"/>
      <c r="E18" s="59" t="n"/>
      <c r="F18" s="60">
        <f>IF(COUNTA(B18:E18)=0,"",SUM(B18:E18))</f>
        <v/>
      </c>
      <c r="G18" s="61" t="n">
        <v>630</v>
      </c>
      <c r="H18" s="62">
        <f>IF(F18="","",G18-F18)</f>
        <v/>
      </c>
      <c r="I18" s="59">
        <f>IF(H18="","",MAX(0,MIN(167.63,I17+H18)))</f>
        <v/>
      </c>
      <c r="J18" s="63">
        <f>IF(H18="","",MAX(0,H18-MAX(0,167.63-I17)))</f>
        <v/>
      </c>
      <c r="K18" s="2" t="n"/>
    </row>
    <row r="19" ht="20" customHeight="1">
      <c r="A19" s="51" t="inlineStr">
        <is>
          <t>Aug '26</t>
        </is>
      </c>
      <c r="B19" s="52" t="n"/>
      <c r="C19" s="52" t="n"/>
      <c r="D19" s="52" t="n"/>
      <c r="E19" s="52" t="n"/>
      <c r="F19" s="53">
        <f>IF(COUNTA(B19:E19)=0,"",SUM(B19:E19))</f>
        <v/>
      </c>
      <c r="G19" s="54" t="n">
        <v>630</v>
      </c>
      <c r="H19" s="55">
        <f>IF(F19="","",G19-F19)</f>
        <v/>
      </c>
      <c r="I19" s="52">
        <f>IF(H19="","",MAX(0,MIN(167.63,I18+H19)))</f>
        <v/>
      </c>
      <c r="J19" s="56">
        <f>IF(H19="","",MAX(0,H19-MAX(0,167.63-I18)))</f>
        <v/>
      </c>
      <c r="K19" s="57" t="n"/>
    </row>
    <row r="20" ht="20" customHeight="1">
      <c r="A20" s="58" t="inlineStr">
        <is>
          <t>Sep '26</t>
        </is>
      </c>
      <c r="B20" s="59" t="n"/>
      <c r="C20" s="59" t="n"/>
      <c r="D20" s="59" t="n"/>
      <c r="E20" s="59" t="n"/>
      <c r="F20" s="60">
        <f>IF(COUNTA(B20:E20)=0,"",SUM(B20:E20))</f>
        <v/>
      </c>
      <c r="G20" s="61" t="n">
        <v>630</v>
      </c>
      <c r="H20" s="62">
        <f>IF(F20="","",G20-F20)</f>
        <v/>
      </c>
      <c r="I20" s="59">
        <f>IF(H20="","",MAX(0,MIN(167.63,I19+H20)))</f>
        <v/>
      </c>
      <c r="J20" s="63">
        <f>IF(H20="","",MAX(0,H20-MAX(0,167.63-I19)))</f>
        <v/>
      </c>
      <c r="K20" s="2" t="n"/>
    </row>
    <row r="21" ht="20" customHeight="1">
      <c r="A21" s="51" t="inlineStr">
        <is>
          <t>Oct '26</t>
        </is>
      </c>
      <c r="B21" s="52" t="n"/>
      <c r="C21" s="52" t="n"/>
      <c r="D21" s="52" t="n"/>
      <c r="E21" s="52" t="n"/>
      <c r="F21" s="53">
        <f>IF(COUNTA(B21:E21)=0,"",SUM(B21:E21))</f>
        <v/>
      </c>
      <c r="G21" s="54" t="n">
        <v>630</v>
      </c>
      <c r="H21" s="55">
        <f>IF(F21="","",G21-F21)</f>
        <v/>
      </c>
      <c r="I21" s="52">
        <f>IF(H21="","",MAX(0,MIN(167.63,I20+H21)))</f>
        <v/>
      </c>
      <c r="J21" s="56">
        <f>IF(H21="","",MAX(0,H21-MAX(0,167.63-I20)))</f>
        <v/>
      </c>
      <c r="K21" s="57" t="n"/>
    </row>
    <row r="22" ht="20" customHeight="1">
      <c r="A22" s="58" t="inlineStr">
        <is>
          <t>Nov '26</t>
        </is>
      </c>
      <c r="B22" s="59" t="n"/>
      <c r="C22" s="59" t="n"/>
      <c r="D22" s="59" t="n"/>
      <c r="E22" s="59" t="n"/>
      <c r="F22" s="60">
        <f>IF(COUNTA(B22:E22)=0,"",SUM(B22:E22))</f>
        <v/>
      </c>
      <c r="G22" s="61" t="n">
        <v>630</v>
      </c>
      <c r="H22" s="62">
        <f>IF(F22="","",G22-F22)</f>
        <v/>
      </c>
      <c r="I22" s="59">
        <f>IF(H22="","",MAX(0,MIN(167.63,I21+H22)))</f>
        <v/>
      </c>
      <c r="J22" s="63">
        <f>IF(H22="","",MAX(0,H22-MAX(0,167.63-I21)))</f>
        <v/>
      </c>
      <c r="K22" s="2" t="n"/>
    </row>
    <row r="23" ht="20" customHeight="1">
      <c r="A23" s="51" t="inlineStr">
        <is>
          <t>Dec '26</t>
        </is>
      </c>
      <c r="B23" s="52" t="n"/>
      <c r="C23" s="52" t="n"/>
      <c r="D23" s="52" t="n"/>
      <c r="E23" s="52" t="n"/>
      <c r="F23" s="53">
        <f>IF(COUNTA(B23:E23)=0,"",SUM(B23:E23))</f>
        <v/>
      </c>
      <c r="G23" s="54" t="n">
        <v>630</v>
      </c>
      <c r="H23" s="55">
        <f>IF(F23="","",G23-F23)</f>
        <v/>
      </c>
      <c r="I23" s="52">
        <f>IF(H23="","",MAX(0,MIN(167.63,I22+H23)))</f>
        <v/>
      </c>
      <c r="J23" s="56">
        <f>IF(H23="","",MAX(0,H23-MAX(0,167.63-I22)))</f>
        <v/>
      </c>
      <c r="K23" s="57" t="n"/>
    </row>
    <row r="24" ht="20" customHeight="1">
      <c r="A24" s="58" t="inlineStr">
        <is>
          <t>Jan '27</t>
        </is>
      </c>
      <c r="B24" s="59" t="n"/>
      <c r="C24" s="59" t="n"/>
      <c r="D24" s="59" t="n"/>
      <c r="E24" s="59" t="n"/>
      <c r="F24" s="60">
        <f>IF(COUNTA(B24:E24)=0,"",SUM(B24:E24))</f>
        <v/>
      </c>
      <c r="G24" s="61" t="n">
        <v>630</v>
      </c>
      <c r="H24" s="62">
        <f>IF(F24="","",G24-F24)</f>
        <v/>
      </c>
      <c r="I24" s="59">
        <f>IF(H24="","",MAX(0,MIN(167.63,I23+H24)))</f>
        <v/>
      </c>
      <c r="J24" s="63">
        <f>IF(H24="","",MAX(0,H24-MAX(0,167.63-I23)))</f>
        <v/>
      </c>
      <c r="K24" s="2" t="n"/>
    </row>
    <row r="25" ht="20" customHeight="1">
      <c r="A25" s="51" t="inlineStr">
        <is>
          <t>Feb '27</t>
        </is>
      </c>
      <c r="B25" s="52" t="n"/>
      <c r="C25" s="52" t="n"/>
      <c r="D25" s="52" t="n"/>
      <c r="E25" s="52" t="n"/>
      <c r="F25" s="53">
        <f>IF(COUNTA(B25:E25)=0,"",SUM(B25:E25))</f>
        <v/>
      </c>
      <c r="G25" s="54" t="n">
        <v>630</v>
      </c>
      <c r="H25" s="55">
        <f>IF(F25="","",G25-F25)</f>
        <v/>
      </c>
      <c r="I25" s="52">
        <f>IF(H25="","",MAX(0,MIN(167.63,I24+H25)))</f>
        <v/>
      </c>
      <c r="J25" s="56">
        <f>IF(H25="","",MAX(0,H25-MAX(0,167.63-I24)))</f>
        <v/>
      </c>
      <c r="K25" s="57" t="n"/>
    </row>
    <row r="26" ht="20" customHeight="1">
      <c r="A26" s="58" t="inlineStr">
        <is>
          <t>Mar '27</t>
        </is>
      </c>
      <c r="B26" s="59" t="n"/>
      <c r="C26" s="59" t="n"/>
      <c r="D26" s="59" t="n"/>
      <c r="E26" s="59" t="n"/>
      <c r="F26" s="60">
        <f>IF(COUNTA(B26:E26)=0,"",SUM(B26:E26))</f>
        <v/>
      </c>
      <c r="G26" s="61" t="n">
        <v>630</v>
      </c>
      <c r="H26" s="62">
        <f>IF(F26="","",G26-F26)</f>
        <v/>
      </c>
      <c r="I26" s="59">
        <f>IF(H26="","",MAX(0,MIN(167.63,I25+H26)))</f>
        <v/>
      </c>
      <c r="J26" s="63">
        <f>IF(H26="","",MAX(0,H26-MAX(0,167.63-I25)))</f>
        <v/>
      </c>
      <c r="K26" s="2" t="n"/>
    </row>
    <row r="27" ht="20" customHeight="1">
      <c r="A27" s="51" t="inlineStr">
        <is>
          <t>Apr '27</t>
        </is>
      </c>
      <c r="B27" s="52" t="n"/>
      <c r="C27" s="52" t="n"/>
      <c r="D27" s="52" t="n"/>
      <c r="E27" s="52" t="n"/>
      <c r="F27" s="53">
        <f>IF(COUNTA(B27:E27)=0,"",SUM(B27:E27))</f>
        <v/>
      </c>
      <c r="G27" s="54" t="n">
        <v>630</v>
      </c>
      <c r="H27" s="55">
        <f>IF(F27="","",G27-F27)</f>
        <v/>
      </c>
      <c r="I27" s="52">
        <f>IF(H27="","",MAX(0,MIN(167.63,I26+H27)))</f>
        <v/>
      </c>
      <c r="J27" s="56">
        <f>IF(H27="","",MAX(0,H27-MAX(0,167.63-I26)))</f>
        <v/>
      </c>
      <c r="K27" s="57" t="n"/>
    </row>
    <row r="28" ht="20" customHeight="1">
      <c r="A28" s="58" t="inlineStr">
        <is>
          <t>May '27</t>
        </is>
      </c>
      <c r="B28" s="59" t="n"/>
      <c r="C28" s="59" t="n"/>
      <c r="D28" s="59" t="n"/>
      <c r="E28" s="59" t="n"/>
      <c r="F28" s="60">
        <f>IF(COUNTA(B28:E28)=0,"",SUM(B28:E28))</f>
        <v/>
      </c>
      <c r="G28" s="61" t="n">
        <v>630</v>
      </c>
      <c r="H28" s="62">
        <f>IF(F28="","",G28-F28)</f>
        <v/>
      </c>
      <c r="I28" s="59">
        <f>IF(H28="","",MAX(0,MIN(167.63,I27+H28)))</f>
        <v/>
      </c>
      <c r="J28" s="63">
        <f>IF(H28="","",MAX(0,H28-MAX(0,167.63-I27)))</f>
        <v/>
      </c>
      <c r="K28" s="2" t="n"/>
    </row>
    <row r="29" ht="20" customHeight="1">
      <c r="A29" s="51" t="inlineStr">
        <is>
          <t>Jun '27</t>
        </is>
      </c>
      <c r="B29" s="52" t="n"/>
      <c r="C29" s="52" t="n"/>
      <c r="D29" s="52" t="n"/>
      <c r="E29" s="52" t="n"/>
      <c r="F29" s="53">
        <f>IF(COUNTA(B29:E29)=0,"",SUM(B29:E29))</f>
        <v/>
      </c>
      <c r="G29" s="54" t="n">
        <v>630</v>
      </c>
      <c r="H29" s="55">
        <f>IF(F29="","",G29-F29)</f>
        <v/>
      </c>
      <c r="I29" s="52">
        <f>IF(H29="","",MAX(0,MIN(167.63,I28+H29)))</f>
        <v/>
      </c>
      <c r="J29" s="56">
        <f>IF(H29="","",MAX(0,H29-MAX(0,167.63-I28)))</f>
        <v/>
      </c>
      <c r="K29" s="57" t="n"/>
    </row>
    <row r="30" ht="20" customHeight="1">
      <c r="A30" s="58" t="inlineStr">
        <is>
          <t>Jul '27</t>
        </is>
      </c>
      <c r="B30" s="59" t="n"/>
      <c r="C30" s="59" t="n"/>
      <c r="D30" s="59" t="n"/>
      <c r="E30" s="59" t="n"/>
      <c r="F30" s="60">
        <f>IF(COUNTA(B30:E30)=0,"",SUM(B30:E30))</f>
        <v/>
      </c>
      <c r="G30" s="61" t="n">
        <v>630</v>
      </c>
      <c r="H30" s="62">
        <f>IF(F30="","",G30-F30)</f>
        <v/>
      </c>
      <c r="I30" s="59">
        <f>IF(H30="","",MAX(0,MIN(167.63,I29+H30)))</f>
        <v/>
      </c>
      <c r="J30" s="63">
        <f>IF(H30="","",MAX(0,H30-MAX(0,167.63-I29)))</f>
        <v/>
      </c>
      <c r="K30" s="2" t="n"/>
    </row>
    <row r="31" ht="20" customHeight="1">
      <c r="A31" s="51" t="inlineStr">
        <is>
          <t>Aug '27</t>
        </is>
      </c>
      <c r="B31" s="52" t="n"/>
      <c r="C31" s="52" t="n"/>
      <c r="D31" s="52" t="n"/>
      <c r="E31" s="52" t="n"/>
      <c r="F31" s="53">
        <f>IF(COUNTA(B31:E31)=0,"",SUM(B31:E31))</f>
        <v/>
      </c>
      <c r="G31" s="54" t="n">
        <v>630</v>
      </c>
      <c r="H31" s="55">
        <f>IF(F31="","",G31-F31)</f>
        <v/>
      </c>
      <c r="I31" s="52">
        <f>IF(H31="","",MAX(0,MIN(167.63,I30+H31)))</f>
        <v/>
      </c>
      <c r="J31" s="56">
        <f>IF(H31="","",MAX(0,H31-MAX(0,167.63-I30)))</f>
        <v/>
      </c>
      <c r="K31" s="57" t="n"/>
    </row>
    <row r="32" ht="20" customHeight="1">
      <c r="A32" s="58" t="inlineStr">
        <is>
          <t>Sep '27</t>
        </is>
      </c>
      <c r="B32" s="59" t="n"/>
      <c r="C32" s="59" t="n"/>
      <c r="D32" s="59" t="n"/>
      <c r="E32" s="59" t="n"/>
      <c r="F32" s="60">
        <f>IF(COUNTA(B32:E32)=0,"",SUM(B32:E32))</f>
        <v/>
      </c>
      <c r="G32" s="61" t="n">
        <v>630</v>
      </c>
      <c r="H32" s="62">
        <f>IF(F32="","",G32-F32)</f>
        <v/>
      </c>
      <c r="I32" s="59">
        <f>IF(H32="","",MAX(0,MIN(167.63,I31+H32)))</f>
        <v/>
      </c>
      <c r="J32" s="63">
        <f>IF(H32="","",MAX(0,H32-MAX(0,167.63-I31)))</f>
        <v/>
      </c>
      <c r="K32" s="2" t="n"/>
    </row>
    <row r="33" ht="20" customHeight="1">
      <c r="A33" s="51" t="inlineStr">
        <is>
          <t>Oct '27</t>
        </is>
      </c>
      <c r="B33" s="52" t="n"/>
      <c r="C33" s="52" t="n"/>
      <c r="D33" s="52" t="n"/>
      <c r="E33" s="52" t="n"/>
      <c r="F33" s="53">
        <f>IF(COUNTA(B33:E33)=0,"",SUM(B33:E33))</f>
        <v/>
      </c>
      <c r="G33" s="54" t="n">
        <v>630</v>
      </c>
      <c r="H33" s="55">
        <f>IF(F33="","",G33-F33)</f>
        <v/>
      </c>
      <c r="I33" s="52">
        <f>IF(H33="","",MAX(0,MIN(167.63,I32+H33)))</f>
        <v/>
      </c>
      <c r="J33" s="56">
        <f>IF(H33="","",MAX(0,H33-MAX(0,167.63-I32)))</f>
        <v/>
      </c>
      <c r="K33" s="57" t="n"/>
    </row>
    <row r="34" ht="20" customHeight="1">
      <c r="A34" s="58" t="inlineStr">
        <is>
          <t>Nov '27</t>
        </is>
      </c>
      <c r="B34" s="59" t="n"/>
      <c r="C34" s="59" t="n"/>
      <c r="D34" s="59" t="n"/>
      <c r="E34" s="59" t="n"/>
      <c r="F34" s="60">
        <f>IF(COUNTA(B34:E34)=0,"",SUM(B34:E34))</f>
        <v/>
      </c>
      <c r="G34" s="61" t="n">
        <v>630</v>
      </c>
      <c r="H34" s="62">
        <f>IF(F34="","",G34-F34)</f>
        <v/>
      </c>
      <c r="I34" s="59">
        <f>IF(H34="","",MAX(0,MIN(167.63,I33+H34)))</f>
        <v/>
      </c>
      <c r="J34" s="63">
        <f>IF(H34="","",MAX(0,H34-MAX(0,167.63-I33)))</f>
        <v/>
      </c>
      <c r="K34" s="2" t="n"/>
    </row>
    <row r="35" ht="20" customHeight="1">
      <c r="A35" s="51" t="inlineStr">
        <is>
          <t>Dec '27</t>
        </is>
      </c>
      <c r="B35" s="52" t="n"/>
      <c r="C35" s="52" t="n"/>
      <c r="D35" s="52" t="n"/>
      <c r="E35" s="52" t="n"/>
      <c r="F35" s="53">
        <f>IF(COUNTA(B35:E35)=0,"",SUM(B35:E35))</f>
        <v/>
      </c>
      <c r="G35" s="54" t="n">
        <v>630</v>
      </c>
      <c r="H35" s="55">
        <f>IF(F35="","",G35-F35)</f>
        <v/>
      </c>
      <c r="I35" s="52">
        <f>IF(H35="","",MAX(0,MIN(167.63,I34+H35)))</f>
        <v/>
      </c>
      <c r="J35" s="56">
        <f>IF(H35="","",MAX(0,H35-MAX(0,167.63-I34)))</f>
        <v/>
      </c>
      <c r="K35" s="57" t="n"/>
    </row>
    <row r="37" ht="24" customHeight="1">
      <c r="A37" s="64" t="inlineStr">
        <is>
          <t>TOTALS</t>
        </is>
      </c>
      <c r="B37" s="65" t="n">
        <v>589.39</v>
      </c>
      <c r="C37" s="65" t="n">
        <v>4130.96</v>
      </c>
      <c r="D37" s="65" t="n">
        <v>505.8</v>
      </c>
      <c r="E37" s="65" t="n">
        <v>241.67</v>
      </c>
      <c r="F37" s="65" t="n">
        <v>5467.82</v>
      </c>
      <c r="G37" s="65" t="n">
        <v>7560</v>
      </c>
      <c r="H37" s="65" t="n">
        <v>2092.18</v>
      </c>
      <c r="J37" s="65" t="n">
        <v>2092.18</v>
      </c>
    </row>
    <row r="38" ht="20" customHeight="1">
      <c r="A38" s="58" t="inlineStr">
        <is>
          <t>AVERAGES</t>
        </is>
      </c>
      <c r="B38" s="59" t="n">
        <v>49.12</v>
      </c>
      <c r="C38" s="59" t="n">
        <v>344.25</v>
      </c>
      <c r="D38" s="59" t="n">
        <v>42.15</v>
      </c>
      <c r="E38" s="59" t="n">
        <v>20.14</v>
      </c>
      <c r="F38" s="59" t="n">
        <v>455.65</v>
      </c>
      <c r="G38" s="59" t="n">
        <v>630</v>
      </c>
      <c r="H38" s="59" t="n">
        <v>174.35</v>
      </c>
      <c r="J38" s="59" t="n">
        <v>174.35</v>
      </c>
    </row>
  </sheetData>
  <mergeCells count="2">
    <mergeCell ref="A2:K2"/>
    <mergeCell ref="A1:K1"/>
  </mergeCells>
  <conditionalFormatting sqref="H5:H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5:J17">
    <cfRule type="cellIs" priority="3" operator="greater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4" customWidth="1" min="5" max="5"/>
    <col width="22" customWidth="1" min="6" max="6"/>
  </cols>
  <sheetData>
    <row r="1" ht="32" customHeight="1">
      <c r="A1" s="66" t="inlineStr">
        <is>
          <t>PER UTILITY — Actuals vs Targets</t>
        </is>
      </c>
    </row>
    <row r="3" ht="26" customHeight="1">
      <c r="A3" s="67" t="inlineStr">
        <is>
          <t>WATER  ·  fund $90/mo  ·  avg $49  ·  cushion $41/mo</t>
        </is>
      </c>
    </row>
    <row r="4" ht="20" customHeight="1">
      <c r="A4" s="58" t="inlineStr">
        <is>
          <t>Month</t>
        </is>
      </c>
      <c r="B4" s="58" t="inlineStr">
        <is>
          <t>Actual</t>
        </is>
      </c>
      <c r="C4" s="58" t="inlineStr">
        <is>
          <t>Target</t>
        </is>
      </c>
      <c r="D4" s="58" t="inlineStr">
        <is>
          <t>Net</t>
        </is>
      </c>
      <c r="E4" s="58" t="inlineStr">
        <is>
          <t>Notes</t>
        </is>
      </c>
    </row>
    <row r="5" ht="18" customHeight="1">
      <c r="A5" s="68" t="inlineStr">
        <is>
          <t>Jun '25</t>
        </is>
      </c>
      <c r="B5" s="52" t="n">
        <v>22.5</v>
      </c>
      <c r="C5" s="69" t="n">
        <v>90</v>
      </c>
      <c r="D5" s="70">
        <f>IFERROR(C5-B5,"")</f>
        <v/>
      </c>
      <c r="E5" s="57" t="n"/>
    </row>
    <row r="6" ht="18" customHeight="1">
      <c r="A6" s="71" t="inlineStr">
        <is>
          <t>Jul '25</t>
        </is>
      </c>
      <c r="B6" s="59" t="n">
        <v>28.32</v>
      </c>
      <c r="C6" s="72" t="n">
        <v>90</v>
      </c>
      <c r="D6" s="73">
        <f>IFERROR(C6-B6,"")</f>
        <v/>
      </c>
      <c r="E6" s="2" t="n"/>
    </row>
    <row r="7" ht="18" customHeight="1">
      <c r="A7" s="68" t="inlineStr">
        <is>
          <t>Aug '25</t>
        </is>
      </c>
      <c r="B7" s="52" t="n">
        <v>24.35</v>
      </c>
      <c r="C7" s="69" t="n">
        <v>90</v>
      </c>
      <c r="D7" s="70">
        <f>IFERROR(C7-B7,"")</f>
        <v/>
      </c>
      <c r="E7" s="57" t="n"/>
    </row>
    <row r="8" ht="18" customHeight="1">
      <c r="A8" s="71" t="inlineStr">
        <is>
          <t>Sep '25</t>
        </is>
      </c>
      <c r="B8" s="59" t="n">
        <v>33.54</v>
      </c>
      <c r="C8" s="72" t="n">
        <v>90</v>
      </c>
      <c r="D8" s="73">
        <f>IFERROR(C8-B8,"")</f>
        <v/>
      </c>
      <c r="E8" s="2" t="n"/>
    </row>
    <row r="9" ht="18" customHeight="1">
      <c r="A9" s="68" t="inlineStr">
        <is>
          <t>Oct '25</t>
        </is>
      </c>
      <c r="B9" s="52" t="n">
        <v>35.97</v>
      </c>
      <c r="C9" s="69" t="n">
        <v>90</v>
      </c>
      <c r="D9" s="70">
        <f>IFERROR(C9-B9,"")</f>
        <v/>
      </c>
      <c r="E9" s="57" t="n"/>
    </row>
    <row r="10" ht="18" customHeight="1">
      <c r="A10" s="71" t="inlineStr">
        <is>
          <t>Nov '25</t>
        </is>
      </c>
      <c r="B10" s="59" t="n">
        <v>35.97</v>
      </c>
      <c r="C10" s="72" t="n">
        <v>90</v>
      </c>
      <c r="D10" s="73">
        <f>IFERROR(C10-B10,"")</f>
        <v/>
      </c>
      <c r="E10" s="2" t="n"/>
    </row>
    <row r="11" ht="18" customHeight="1">
      <c r="A11" s="68" t="inlineStr">
        <is>
          <t>Dec '25</t>
        </is>
      </c>
      <c r="B11" s="52" t="n">
        <v>44.13</v>
      </c>
      <c r="C11" s="69" t="n">
        <v>90</v>
      </c>
      <c r="D11" s="70">
        <f>IFERROR(C11-B11,"")</f>
        <v/>
      </c>
      <c r="E11" s="57" t="n"/>
    </row>
    <row r="12" ht="18" customHeight="1">
      <c r="A12" s="71" t="inlineStr">
        <is>
          <t>Jan '26</t>
        </is>
      </c>
      <c r="B12" s="59" t="n">
        <v>40.52</v>
      </c>
      <c r="C12" s="72" t="n">
        <v>90</v>
      </c>
      <c r="D12" s="73">
        <f>IFERROR(C12-B12,"")</f>
        <v/>
      </c>
      <c r="E12" s="2" t="n"/>
    </row>
    <row r="13" ht="18" customHeight="1">
      <c r="A13" s="68" t="inlineStr">
        <is>
          <t>Feb '26</t>
        </is>
      </c>
      <c r="B13" s="52" t="n">
        <v>31.02</v>
      </c>
      <c r="C13" s="69" t="n">
        <v>90</v>
      </c>
      <c r="D13" s="70">
        <f>IFERROR(C13-B13,"")</f>
        <v/>
      </c>
      <c r="E13" s="57" t="n"/>
    </row>
    <row r="14" ht="18" customHeight="1">
      <c r="A14" s="71" t="inlineStr">
        <is>
          <t>Mar '26</t>
        </is>
      </c>
      <c r="B14" s="59" t="n">
        <v>39.61</v>
      </c>
      <c r="C14" s="72" t="n">
        <v>90</v>
      </c>
      <c r="D14" s="73">
        <f>IFERROR(C14-B14,"")</f>
        <v/>
      </c>
      <c r="E14" s="2" t="n"/>
    </row>
    <row r="15" ht="18" customHeight="1">
      <c r="A15" s="68" t="inlineStr">
        <is>
          <t>Apr '26</t>
        </is>
      </c>
      <c r="B15" s="52" t="n">
        <v>86.5</v>
      </c>
      <c r="C15" s="69" t="n">
        <v>90</v>
      </c>
      <c r="D15" s="70">
        <f>IFERROR(C15-B15,"")</f>
        <v/>
      </c>
      <c r="E15" s="57" t="n"/>
    </row>
    <row r="16" ht="18" customHeight="1">
      <c r="A16" s="71" t="inlineStr">
        <is>
          <t>Jun '26</t>
        </is>
      </c>
      <c r="B16" s="59" t="n">
        <v>166.96</v>
      </c>
      <c r="C16" s="72" t="n">
        <v>90</v>
      </c>
      <c r="D16" s="73">
        <f>IFERROR(C16-B16,"")</f>
        <v/>
      </c>
      <c r="E16" s="2" t="n"/>
    </row>
    <row r="17" ht="22" customHeight="1">
      <c r="A17" s="74" t="inlineStr">
        <is>
          <t>TOTALS</t>
        </is>
      </c>
      <c r="B17" s="75">
        <f>SUM(B5:B16)</f>
        <v/>
      </c>
      <c r="C17" s="75" t="n">
        <v>1080</v>
      </c>
      <c r="D17" s="76">
        <f>C17-B17</f>
        <v/>
      </c>
    </row>
    <row r="20" ht="26" customHeight="1">
      <c r="A20" s="77" t="inlineStr">
        <is>
          <t>POWER  ·  fund $453/mo  ·  avg $344  ·  cushion $109/mo</t>
        </is>
      </c>
    </row>
    <row r="21" ht="20" customHeight="1">
      <c r="A21" s="58" t="inlineStr">
        <is>
          <t>Month</t>
        </is>
      </c>
      <c r="B21" s="58" t="inlineStr">
        <is>
          <t>Actual</t>
        </is>
      </c>
      <c r="C21" s="58" t="inlineStr">
        <is>
          <t>Target</t>
        </is>
      </c>
      <c r="D21" s="58" t="inlineStr">
        <is>
          <t>Net</t>
        </is>
      </c>
      <c r="E21" s="58" t="inlineStr">
        <is>
          <t>Notes</t>
        </is>
      </c>
    </row>
    <row r="22" ht="18" customHeight="1">
      <c r="A22" s="68" t="inlineStr">
        <is>
          <t>Jun '25</t>
        </is>
      </c>
      <c r="B22" s="52" t="n">
        <v>368.62</v>
      </c>
      <c r="C22" s="69" t="n">
        <v>453</v>
      </c>
      <c r="D22" s="70">
        <f>IFERROR(C22-B22,"")</f>
        <v/>
      </c>
      <c r="E22" s="57" t="n"/>
    </row>
    <row r="23" ht="18" customHeight="1">
      <c r="A23" s="71" t="inlineStr">
        <is>
          <t>Jul '25</t>
        </is>
      </c>
      <c r="B23" s="59" t="n">
        <v>440.17</v>
      </c>
      <c r="C23" s="72" t="n">
        <v>453</v>
      </c>
      <c r="D23" s="73">
        <f>IFERROR(C23-B23,"")</f>
        <v/>
      </c>
      <c r="E23" s="2" t="n"/>
    </row>
    <row r="24" ht="18" customHeight="1">
      <c r="A24" s="68" t="inlineStr">
        <is>
          <t>Aug '25</t>
        </is>
      </c>
      <c r="B24" s="52" t="n">
        <v>429.27</v>
      </c>
      <c r="C24" s="69" t="n">
        <v>453</v>
      </c>
      <c r="D24" s="70">
        <f>IFERROR(C24-B24,"")</f>
        <v/>
      </c>
      <c r="E24" s="57" t="n"/>
    </row>
    <row r="25" ht="18" customHeight="1">
      <c r="A25" s="71" t="inlineStr">
        <is>
          <t>Sep '25</t>
        </is>
      </c>
      <c r="B25" s="59" t="n">
        <v>381.57</v>
      </c>
      <c r="C25" s="72" t="n">
        <v>453</v>
      </c>
      <c r="D25" s="73">
        <f>IFERROR(C25-B25,"")</f>
        <v/>
      </c>
      <c r="E25" s="2" t="n"/>
    </row>
    <row r="26" ht="18" customHeight="1">
      <c r="A26" s="68" t="inlineStr">
        <is>
          <t>Oct '25</t>
        </is>
      </c>
      <c r="B26" s="52" t="n">
        <v>248.35</v>
      </c>
      <c r="C26" s="69" t="n">
        <v>453</v>
      </c>
      <c r="D26" s="70">
        <f>IFERROR(C26-B26,"")</f>
        <v/>
      </c>
      <c r="E26" s="57" t="n"/>
    </row>
    <row r="27" ht="18" customHeight="1">
      <c r="A27" s="71" t="inlineStr">
        <is>
          <t>Nov '25</t>
        </is>
      </c>
      <c r="B27" s="59" t="n">
        <v>264.5</v>
      </c>
      <c r="C27" s="72" t="n">
        <v>453</v>
      </c>
      <c r="D27" s="73">
        <f>IFERROR(C27-B27,"")</f>
        <v/>
      </c>
      <c r="E27" s="2" t="n"/>
    </row>
    <row r="28" ht="18" customHeight="1">
      <c r="A28" s="68" t="inlineStr">
        <is>
          <t>Dec '25</t>
        </is>
      </c>
      <c r="B28" s="52" t="n">
        <v>415.04</v>
      </c>
      <c r="C28" s="69" t="n">
        <v>453</v>
      </c>
      <c r="D28" s="70">
        <f>IFERROR(C28-B28,"")</f>
        <v/>
      </c>
      <c r="E28" s="57" t="n"/>
    </row>
    <row r="29" ht="18" customHeight="1">
      <c r="A29" s="71" t="inlineStr">
        <is>
          <t>Jan '26</t>
        </is>
      </c>
      <c r="B29" s="59" t="n">
        <v>541.9</v>
      </c>
      <c r="C29" s="72" t="n">
        <v>453</v>
      </c>
      <c r="D29" s="73">
        <f>IFERROR(C29-B29,"")</f>
        <v/>
      </c>
      <c r="E29" s="2" t="n"/>
    </row>
    <row r="30" ht="18" customHeight="1">
      <c r="A30" s="68" t="inlineStr">
        <is>
          <t>Feb '26</t>
        </is>
      </c>
      <c r="B30" s="52" t="n">
        <v>388.23</v>
      </c>
      <c r="C30" s="69" t="n">
        <v>453</v>
      </c>
      <c r="D30" s="70">
        <f>IFERROR(C30-B30,"")</f>
        <v/>
      </c>
      <c r="E30" s="57" t="n"/>
    </row>
    <row r="31" ht="18" customHeight="1">
      <c r="A31" s="71" t="inlineStr">
        <is>
          <t>Mar '26</t>
        </is>
      </c>
      <c r="B31" s="59" t="n">
        <v>226.71</v>
      </c>
      <c r="C31" s="72" t="n">
        <v>453</v>
      </c>
      <c r="D31" s="73">
        <f>IFERROR(C31-B31,"")</f>
        <v/>
      </c>
      <c r="E31" s="2" t="n"/>
    </row>
    <row r="32" ht="18" customHeight="1">
      <c r="A32" s="68" t="inlineStr">
        <is>
          <t>Apr '26</t>
        </is>
      </c>
      <c r="B32" s="52" t="n">
        <v>206.01</v>
      </c>
      <c r="C32" s="69" t="n">
        <v>453</v>
      </c>
      <c r="D32" s="70">
        <f>IFERROR(C32-B32,"")</f>
        <v/>
      </c>
      <c r="E32" s="57" t="n"/>
    </row>
    <row r="33" ht="18" customHeight="1">
      <c r="A33" s="71" t="inlineStr">
        <is>
          <t>Jun '26</t>
        </is>
      </c>
      <c r="B33" s="59" t="n">
        <v>220.59</v>
      </c>
      <c r="C33" s="72" t="n">
        <v>453</v>
      </c>
      <c r="D33" s="73">
        <f>IFERROR(C33-B33,"")</f>
        <v/>
      </c>
      <c r="E33" s="2" t="n"/>
    </row>
    <row r="34" ht="22" customHeight="1">
      <c r="A34" s="74" t="inlineStr">
        <is>
          <t>TOTALS</t>
        </is>
      </c>
      <c r="B34" s="75">
        <f>SUM(B22:B33)</f>
        <v/>
      </c>
      <c r="C34" s="75" t="n">
        <v>5436</v>
      </c>
      <c r="D34" s="76">
        <f>C34-B34</f>
        <v/>
      </c>
    </row>
    <row r="37" ht="26" customHeight="1">
      <c r="A37" s="78" t="inlineStr">
        <is>
          <t>INTERNET  ·  fund $64/mo  ·  avg $42  ·  cushion $22/mo</t>
        </is>
      </c>
    </row>
    <row r="38" ht="20" customHeight="1">
      <c r="A38" s="58" t="inlineStr">
        <is>
          <t>Month</t>
        </is>
      </c>
      <c r="B38" s="58" t="inlineStr">
        <is>
          <t>Actual</t>
        </is>
      </c>
      <c r="C38" s="58" t="inlineStr">
        <is>
          <t>Target</t>
        </is>
      </c>
      <c r="D38" s="58" t="inlineStr">
        <is>
          <t>Net</t>
        </is>
      </c>
      <c r="E38" s="58" t="inlineStr">
        <is>
          <t>Notes</t>
        </is>
      </c>
    </row>
    <row r="39" ht="18" customHeight="1">
      <c r="A39" s="68" t="inlineStr">
        <is>
          <t>Jun '25</t>
        </is>
      </c>
      <c r="B39" s="52" t="n">
        <v>42.97</v>
      </c>
      <c r="C39" s="69" t="n">
        <v>64</v>
      </c>
      <c r="D39" s="70">
        <f>IFERROR(C39-B39,"")</f>
        <v/>
      </c>
      <c r="E39" s="57" t="n"/>
    </row>
    <row r="40" ht="18" customHeight="1">
      <c r="A40" s="71" t="inlineStr">
        <is>
          <t>Jul '25</t>
        </is>
      </c>
      <c r="B40" s="59" t="n">
        <v>42.98</v>
      </c>
      <c r="C40" s="72" t="n">
        <v>64</v>
      </c>
      <c r="D40" s="73">
        <f>IFERROR(C40-B40,"")</f>
        <v/>
      </c>
      <c r="E40" s="2" t="n"/>
    </row>
    <row r="41" ht="18" customHeight="1">
      <c r="A41" s="68" t="inlineStr">
        <is>
          <t>Aug '25</t>
        </is>
      </c>
      <c r="B41" s="52" t="n">
        <v>42.98</v>
      </c>
      <c r="C41" s="69" t="n">
        <v>64</v>
      </c>
      <c r="D41" s="70">
        <f>IFERROR(C41-B41,"")</f>
        <v/>
      </c>
      <c r="E41" s="57" t="n"/>
    </row>
    <row r="42" ht="18" customHeight="1">
      <c r="A42" s="71" t="inlineStr">
        <is>
          <t>Sep '25</t>
        </is>
      </c>
      <c r="B42" s="59" t="n">
        <v>63.03</v>
      </c>
      <c r="C42" s="72" t="n">
        <v>64</v>
      </c>
      <c r="D42" s="73">
        <f>IFERROR(C42-B42,"")</f>
        <v/>
      </c>
      <c r="E42" s="2" t="n"/>
    </row>
    <row r="43" ht="18" customHeight="1">
      <c r="A43" s="68" t="inlineStr">
        <is>
          <t>Oct '25</t>
        </is>
      </c>
      <c r="B43" s="52" t="n">
        <v>63.03</v>
      </c>
      <c r="C43" s="69" t="n">
        <v>64</v>
      </c>
      <c r="D43" s="70">
        <f>IFERROR(C43-B43,"")</f>
        <v/>
      </c>
      <c r="E43" s="57" t="n"/>
    </row>
    <row r="44" ht="18" customHeight="1">
      <c r="A44" s="71" t="inlineStr">
        <is>
          <t>Nov '25</t>
        </is>
      </c>
      <c r="B44" s="59" t="n">
        <v>63.03</v>
      </c>
      <c r="C44" s="72" t="n">
        <v>64</v>
      </c>
      <c r="D44" s="73">
        <f>IFERROR(C44-B44,"")</f>
        <v/>
      </c>
      <c r="E44" s="2" t="n"/>
    </row>
    <row r="45" ht="18" customHeight="1">
      <c r="A45" s="68" t="inlineStr">
        <is>
          <t>Dec '25</t>
        </is>
      </c>
      <c r="B45" s="52" t="n">
        <v>63.03</v>
      </c>
      <c r="C45" s="69" t="n">
        <v>64</v>
      </c>
      <c r="D45" s="70">
        <f>IFERROR(C45-B45,"")</f>
        <v/>
      </c>
      <c r="E45" s="57" t="n"/>
    </row>
    <row r="46" ht="18" customHeight="1">
      <c r="A46" s="71" t="inlineStr">
        <is>
          <t>Jan '26</t>
        </is>
      </c>
      <c r="B46" s="59" t="n">
        <v>24.95</v>
      </c>
      <c r="C46" s="72" t="n">
        <v>64</v>
      </c>
      <c r="D46" s="73">
        <f>IFERROR(C46-B46,"")</f>
        <v/>
      </c>
      <c r="E46" s="2" t="n"/>
    </row>
    <row r="47" ht="18" customHeight="1">
      <c r="A47" s="68" t="inlineStr">
        <is>
          <t>Feb '26</t>
        </is>
      </c>
      <c r="B47" s="52" t="n">
        <v>24.95</v>
      </c>
      <c r="C47" s="69" t="n">
        <v>64</v>
      </c>
      <c r="D47" s="70">
        <f>IFERROR(C47-B47,"")</f>
        <v/>
      </c>
      <c r="E47" s="57" t="n"/>
    </row>
    <row r="48" ht="18" customHeight="1">
      <c r="A48" s="71" t="inlineStr">
        <is>
          <t>Mar '26</t>
        </is>
      </c>
      <c r="B48" s="59" t="n">
        <v>24.95</v>
      </c>
      <c r="C48" s="72" t="n">
        <v>64</v>
      </c>
      <c r="D48" s="73">
        <f>IFERROR(C48-B48,"")</f>
        <v/>
      </c>
      <c r="E48" s="2" t="n"/>
    </row>
    <row r="49" ht="18" customHeight="1">
      <c r="A49" s="68" t="inlineStr">
        <is>
          <t>Apr '26</t>
        </is>
      </c>
      <c r="B49" s="52" t="n">
        <v>24.95</v>
      </c>
      <c r="C49" s="69" t="n">
        <v>64</v>
      </c>
      <c r="D49" s="70">
        <f>IFERROR(C49-B49,"")</f>
        <v/>
      </c>
      <c r="E49" s="57" t="n"/>
    </row>
    <row r="50" ht="18" customHeight="1">
      <c r="A50" s="71" t="inlineStr">
        <is>
          <t>Jun '26</t>
        </is>
      </c>
      <c r="B50" s="59" t="n">
        <v>24.95</v>
      </c>
      <c r="C50" s="72" t="n">
        <v>64</v>
      </c>
      <c r="D50" s="73">
        <f>IFERROR(C50-B50,"")</f>
        <v/>
      </c>
      <c r="E50" s="2" t="n"/>
    </row>
    <row r="51" ht="22" customHeight="1">
      <c r="A51" s="74" t="inlineStr">
        <is>
          <t>TOTALS</t>
        </is>
      </c>
      <c r="B51" s="75">
        <f>SUM(B39:B50)</f>
        <v/>
      </c>
      <c r="C51" s="75" t="n">
        <v>768</v>
      </c>
      <c r="D51" s="76">
        <f>C51-B51</f>
        <v/>
      </c>
    </row>
    <row r="54" ht="26" customHeight="1">
      <c r="A54" s="79" t="inlineStr">
        <is>
          <t>TRASH  ·  fund $23/mo  ·  avg $22  ·  cushion $1/mo</t>
        </is>
      </c>
    </row>
    <row r="55" ht="20" customHeight="1">
      <c r="A55" s="58" t="inlineStr">
        <is>
          <t>Month</t>
        </is>
      </c>
      <c r="B55" s="58" t="inlineStr">
        <is>
          <t>Actual</t>
        </is>
      </c>
      <c r="C55" s="58" t="inlineStr">
        <is>
          <t>Target</t>
        </is>
      </c>
      <c r="D55" s="58" t="inlineStr">
        <is>
          <t>Net</t>
        </is>
      </c>
      <c r="E55" s="58" t="inlineStr">
        <is>
          <t>Notes</t>
        </is>
      </c>
    </row>
    <row r="56" ht="18" customHeight="1">
      <c r="A56" s="68" t="inlineStr">
        <is>
          <t>Jun '25</t>
        </is>
      </c>
      <c r="B56" s="52" t="n">
        <v>21.37</v>
      </c>
      <c r="C56" s="69" t="n">
        <v>23</v>
      </c>
      <c r="D56" s="70">
        <f>IFERROR(C56-B56,"")</f>
        <v/>
      </c>
      <c r="E56" s="57" t="n"/>
    </row>
    <row r="57" ht="18" customHeight="1">
      <c r="A57" s="71" t="inlineStr">
        <is>
          <t>Jul '25</t>
        </is>
      </c>
      <c r="B57" s="59" t="n">
        <v>24.77</v>
      </c>
      <c r="C57" s="72" t="n">
        <v>23</v>
      </c>
      <c r="D57" s="73">
        <f>IFERROR(C57-B57,"")</f>
        <v/>
      </c>
      <c r="E57" s="2" t="n"/>
    </row>
    <row r="58" ht="18" customHeight="1">
      <c r="A58" s="68" t="inlineStr">
        <is>
          <t>Aug '25</t>
        </is>
      </c>
      <c r="B58" s="52" t="n"/>
      <c r="C58" s="69" t="n">
        <v>23</v>
      </c>
      <c r="D58" s="70">
        <f>IFERROR(C58-B58,"")</f>
        <v/>
      </c>
      <c r="E58" s="57" t="n"/>
    </row>
    <row r="59" ht="18" customHeight="1">
      <c r="A59" s="71" t="inlineStr">
        <is>
          <t>Sep '25</t>
        </is>
      </c>
      <c r="B59" s="59" t="n">
        <v>21.37</v>
      </c>
      <c r="C59" s="72" t="n">
        <v>23</v>
      </c>
      <c r="D59" s="73">
        <f>IFERROR(C59-B59,"")</f>
        <v/>
      </c>
      <c r="E59" s="2" t="n"/>
    </row>
    <row r="60" ht="18" customHeight="1">
      <c r="A60" s="68" t="inlineStr">
        <is>
          <t>Oct '25</t>
        </is>
      </c>
      <c r="B60" s="52" t="n">
        <v>21.37</v>
      </c>
      <c r="C60" s="69" t="n">
        <v>23</v>
      </c>
      <c r="D60" s="70">
        <f>IFERROR(C60-B60,"")</f>
        <v/>
      </c>
      <c r="E60" s="57" t="n"/>
    </row>
    <row r="61" ht="18" customHeight="1">
      <c r="A61" s="71" t="inlineStr">
        <is>
          <t>Nov '25</t>
        </is>
      </c>
      <c r="B61" s="59" t="n">
        <v>21.37</v>
      </c>
      <c r="C61" s="72" t="n">
        <v>23</v>
      </c>
      <c r="D61" s="73">
        <f>IFERROR(C61-B61,"")</f>
        <v/>
      </c>
      <c r="E61" s="2" t="n"/>
    </row>
    <row r="62" ht="18" customHeight="1">
      <c r="A62" s="68" t="inlineStr">
        <is>
          <t>Dec '25</t>
        </is>
      </c>
      <c r="B62" s="52" t="n">
        <v>21.37</v>
      </c>
      <c r="C62" s="69" t="n">
        <v>23</v>
      </c>
      <c r="D62" s="70">
        <f>IFERROR(C62-B62,"")</f>
        <v/>
      </c>
      <c r="E62" s="57" t="n"/>
    </row>
    <row r="63" ht="18" customHeight="1">
      <c r="A63" s="71" t="inlineStr">
        <is>
          <t>Jan '26</t>
        </is>
      </c>
      <c r="B63" s="59" t="n">
        <v>22.01</v>
      </c>
      <c r="C63" s="72" t="n">
        <v>23</v>
      </c>
      <c r="D63" s="73">
        <f>IFERROR(C63-B63,"")</f>
        <v/>
      </c>
      <c r="E63" s="2" t="n"/>
    </row>
    <row r="64" ht="18" customHeight="1">
      <c r="A64" s="68" t="inlineStr">
        <is>
          <t>Feb '26</t>
        </is>
      </c>
      <c r="B64" s="52" t="n">
        <v>22.01</v>
      </c>
      <c r="C64" s="69" t="n">
        <v>23</v>
      </c>
      <c r="D64" s="70">
        <f>IFERROR(C64-B64,"")</f>
        <v/>
      </c>
      <c r="E64" s="57" t="n"/>
    </row>
    <row r="65" ht="18" customHeight="1">
      <c r="A65" s="71" t="inlineStr">
        <is>
          <t>Mar '26</t>
        </is>
      </c>
      <c r="B65" s="59" t="n">
        <v>22.01</v>
      </c>
      <c r="C65" s="72" t="n">
        <v>23</v>
      </c>
      <c r="D65" s="73">
        <f>IFERROR(C65-B65,"")</f>
        <v/>
      </c>
      <c r="E65" s="2" t="n"/>
    </row>
    <row r="66" ht="18" customHeight="1">
      <c r="A66" s="68" t="inlineStr">
        <is>
          <t>Apr '26</t>
        </is>
      </c>
      <c r="B66" s="52" t="n">
        <v>22.01</v>
      </c>
      <c r="C66" s="69" t="n">
        <v>23</v>
      </c>
      <c r="D66" s="70">
        <f>IFERROR(C66-B66,"")</f>
        <v/>
      </c>
      <c r="E66" s="57" t="n"/>
    </row>
    <row r="67" ht="18" customHeight="1">
      <c r="A67" s="71" t="inlineStr">
        <is>
          <t>Jun '26</t>
        </is>
      </c>
      <c r="B67" s="59" t="n">
        <v>22.01</v>
      </c>
      <c r="C67" s="72" t="n">
        <v>23</v>
      </c>
      <c r="D67" s="73">
        <f>IFERROR(C67-B67,"")</f>
        <v/>
      </c>
      <c r="E67" s="2" t="n"/>
    </row>
    <row r="68" ht="22" customHeight="1">
      <c r="A68" s="74" t="inlineStr">
        <is>
          <t>TOTALS</t>
        </is>
      </c>
      <c r="B68" s="75">
        <f>SUM(B56:B67)</f>
        <v/>
      </c>
      <c r="C68" s="75" t="n">
        <v>276</v>
      </c>
      <c r="D68" s="76">
        <f>C68-B68</f>
        <v/>
      </c>
    </row>
  </sheetData>
  <mergeCells count="5">
    <mergeCell ref="A54:F54"/>
    <mergeCell ref="A1:F1"/>
    <mergeCell ref="A37:F37"/>
    <mergeCell ref="A3:F3"/>
    <mergeCell ref="A20:F20"/>
  </mergeCells>
  <conditionalFormatting sqref="D5:D1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2:D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39:D5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56:D67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5" customWidth="1" min="4" max="4"/>
    <col width="15" customWidth="1" min="5" max="5"/>
    <col width="30" customWidth="1" min="6" max="6"/>
  </cols>
  <sheetData>
    <row r="1" ht="32" customHeight="1">
      <c r="A1" s="66" t="inlineStr">
        <is>
          <t>BILL CALENDAR — ALIGN TO PAYDAY</t>
        </is>
      </c>
    </row>
    <row r="2">
      <c r="A2" s="2" t="inlineStr">
        <is>
          <t>Move due dates so bills land 2–3 days after payday · keep buffers · set it once</t>
        </is>
      </c>
    </row>
    <row r="4" ht="22" customHeight="1">
      <c r="B4" s="42" t="inlineStr">
        <is>
          <t>BILL</t>
        </is>
      </c>
      <c r="C4" s="42" t="inlineStr">
        <is>
          <t>AMOUNT</t>
        </is>
      </c>
      <c r="D4" s="42" t="inlineStr">
        <is>
          <t>CURRENT DUE</t>
        </is>
      </c>
      <c r="E4" s="42" t="inlineStr">
        <is>
          <t>TARGET DUE</t>
        </is>
      </c>
      <c r="F4" s="42" t="inlineStr">
        <is>
          <t>NOTES</t>
        </is>
      </c>
    </row>
    <row r="5" ht="22" customHeight="1">
      <c r="B5" s="80" t="inlineStr">
        <is>
          <t>FIXED BILLS — auto-pay from SoFi checking</t>
        </is>
      </c>
    </row>
    <row r="6" ht="20" customHeight="1">
      <c r="B6" s="81" t="inlineStr">
        <is>
          <t>Mortgage</t>
        </is>
      </c>
      <c r="C6" s="59" t="n">
        <v>837</v>
      </c>
      <c r="D6" s="82" t="inlineStr">
        <is>
          <t>—</t>
        </is>
      </c>
      <c r="E6" s="83" t="inlineStr">
        <is>
          <t>—</t>
        </is>
      </c>
      <c r="F6" s="16" t="inlineStr">
        <is>
          <t>Move to 3rd of month</t>
        </is>
      </c>
    </row>
    <row r="7" ht="20" customHeight="1">
      <c r="B7" s="84" t="inlineStr">
        <is>
          <t>House insurance</t>
        </is>
      </c>
      <c r="C7" s="52" t="n">
        <v>190</v>
      </c>
      <c r="D7" s="85" t="inlineStr">
        <is>
          <t>—</t>
        </is>
      </c>
      <c r="E7" s="86" t="inlineStr">
        <is>
          <t>—</t>
        </is>
      </c>
      <c r="F7" s="6" t="inlineStr">
        <is>
          <t>Move to 4th</t>
        </is>
      </c>
    </row>
    <row r="8" ht="20" customHeight="1">
      <c r="B8" s="81" t="inlineStr">
        <is>
          <t>Auto insurance</t>
        </is>
      </c>
      <c r="C8" s="59" t="n">
        <v>79</v>
      </c>
      <c r="D8" s="82" t="inlineStr">
        <is>
          <t>—</t>
        </is>
      </c>
      <c r="E8" s="83" t="inlineStr">
        <is>
          <t>—</t>
        </is>
      </c>
      <c r="F8" s="16" t="inlineStr">
        <is>
          <t>Move to 5th</t>
        </is>
      </c>
    </row>
    <row r="9" ht="20" customHeight="1">
      <c r="B9" s="84" t="inlineStr">
        <is>
          <t>Phone</t>
        </is>
      </c>
      <c r="C9" s="52" t="n">
        <v>55</v>
      </c>
      <c r="D9" s="85" t="inlineStr">
        <is>
          <t>—</t>
        </is>
      </c>
      <c r="E9" s="86" t="inlineStr">
        <is>
          <t>—</t>
        </is>
      </c>
      <c r="F9" s="6" t="inlineStr">
        <is>
          <t>Move to 6th</t>
        </is>
      </c>
    </row>
    <row r="10" ht="20" customHeight="1">
      <c r="B10" s="81" t="inlineStr">
        <is>
          <t>Property tax set-aside</t>
        </is>
      </c>
      <c r="C10" s="59" t="n">
        <v>54</v>
      </c>
      <c r="D10" s="82" t="inlineStr">
        <is>
          <t>—</t>
        </is>
      </c>
      <c r="E10" s="83" t="inlineStr">
        <is>
          <t>—</t>
        </is>
      </c>
      <c r="F10" s="16" t="inlineStr">
        <is>
          <t>Move to 7th — manual transfer</t>
        </is>
      </c>
    </row>
    <row r="12" ht="22" customHeight="1">
      <c r="B12" s="87" t="inlineStr">
        <is>
          <t>FLEX UTILITIES — auto-draft from Flex account</t>
        </is>
      </c>
    </row>
    <row r="13" ht="20" customHeight="1">
      <c r="B13" s="81" t="inlineStr">
        <is>
          <t>Power</t>
        </is>
      </c>
      <c r="C13" s="59" t="n">
        <v>453</v>
      </c>
      <c r="D13" s="82" t="inlineStr">
        <is>
          <t>—</t>
        </is>
      </c>
      <c r="E13" s="83" t="inlineStr">
        <is>
          <t>—</t>
        </is>
      </c>
      <c r="F13" s="16" t="inlineStr">
        <is>
          <t>Varies — flat funding absorbs swings</t>
        </is>
      </c>
    </row>
    <row r="14" ht="20" customHeight="1">
      <c r="B14" s="84" t="inlineStr">
        <is>
          <t>Water</t>
        </is>
      </c>
      <c r="C14" s="52" t="n">
        <v>90</v>
      </c>
      <c r="D14" s="85" t="inlineStr">
        <is>
          <t>—</t>
        </is>
      </c>
      <c r="E14" s="86" t="inlineStr">
        <is>
          <t>—</t>
        </is>
      </c>
      <c r="F14" s="6" t="inlineStr">
        <is>
          <t>Flat funded; two outlier months flagged</t>
        </is>
      </c>
    </row>
    <row r="15" ht="20" customHeight="1">
      <c r="B15" s="81" t="inlineStr">
        <is>
          <t>Internet</t>
        </is>
      </c>
      <c r="C15" s="59" t="n">
        <v>64</v>
      </c>
      <c r="D15" s="82" t="inlineStr">
        <is>
          <t>—</t>
        </is>
      </c>
      <c r="E15" s="83" t="inlineStr">
        <is>
          <t>—</t>
        </is>
      </c>
      <c r="F15" s="16" t="inlineStr">
        <is>
          <t>On promo $24.95 — $39/mo currently sweeps</t>
        </is>
      </c>
    </row>
    <row r="16" ht="20" customHeight="1">
      <c r="B16" s="84" t="inlineStr">
        <is>
          <t>Trash</t>
        </is>
      </c>
      <c r="C16" s="52" t="n">
        <v>23</v>
      </c>
      <c r="D16" s="85" t="inlineStr">
        <is>
          <t>—</t>
        </is>
      </c>
      <c r="E16" s="86" t="inlineStr">
        <is>
          <t>—</t>
        </is>
      </c>
      <c r="F16" s="6" t="inlineStr">
        <is>
          <t>Stable — rarely varies</t>
        </is>
      </c>
    </row>
    <row r="19" ht="22" customHeight="1">
      <c r="B19" s="3" t="inlineStr">
        <is>
          <t>HOW TO ALIGN DUE DATES — 3 moves</t>
        </is>
      </c>
    </row>
    <row r="20" ht="15" customHeight="1">
      <c r="B20" s="88" t="inlineStr">
        <is>
          <t>● Move the due dates</t>
        </is>
      </c>
    </row>
    <row r="21" ht="36" customHeight="1">
      <c r="B21" s="16" t="inlineStr">
        <is>
          <t>Call each biller and ask to shift your due date — almost all say yes. Target 2-3 days after payday so money is always there when the bill hits.</t>
        </is>
      </c>
    </row>
    <row r="22" ht="15" customHeight="1">
      <c r="B22" s="89" t="inlineStr">
        <is>
          <t>● Keep buffers</t>
        </is>
      </c>
    </row>
    <row r="23" ht="36" customHeight="1">
      <c r="B23" s="6" t="inlineStr">
        <is>
          <t>~$1,215 (one month fixed) parked in SoFi checking + $168 in the Flex account. Once those cushions exist, timing stops mattering.</t>
        </is>
      </c>
    </row>
    <row r="24" ht="15" customHeight="1">
      <c r="B24" s="88" t="inlineStr">
        <is>
          <t>● Group by paycheck</t>
        </is>
      </c>
    </row>
    <row r="25" ht="36" customHeight="1">
      <c r="B25" s="16" t="inlineStr">
        <is>
          <t>If paid biweekly, assign bills to specific checks so no single check is over-loaded. Mortgage from the check that clears it; utilities auto-draft mid-month.</t>
        </is>
      </c>
    </row>
  </sheetData>
  <mergeCells count="8">
    <mergeCell ref="B21:F21"/>
    <mergeCell ref="A2:F2"/>
    <mergeCell ref="B12:F12"/>
    <mergeCell ref="A1:F1"/>
    <mergeCell ref="B25:F25"/>
    <mergeCell ref="B19:F19"/>
    <mergeCell ref="B5:F5"/>
    <mergeCell ref="B23:F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30" customWidth="1" min="4" max="4"/>
  </cols>
  <sheetData>
    <row r="1" ht="32" customHeight="1">
      <c r="A1" s="41" t="inlineStr">
        <is>
          <t>CATEGORY RULES</t>
        </is>
      </c>
    </row>
    <row r="2" ht="18" customHeight="1">
      <c r="A2" s="2" t="inlineStr">
        <is>
          <t>Keyword in a merchant description → spending category. Edit freely — add your own merchants below the last row.</t>
        </is>
      </c>
    </row>
    <row r="3" ht="28" customHeight="1">
      <c r="A3" s="90" t="inlineStr">
        <is>
          <t>Matching is case-insensitive and partial — "SHELL" matches "SHELL #1234 JACKSONVILLE". First match wins. Leave OVERRIDE blank on the Transactions tab to use AUTO CAT.</t>
        </is>
      </c>
    </row>
    <row r="4" ht="4" customHeight="1"/>
    <row r="5" ht="22" customHeight="1">
      <c r="B5" s="87" t="inlineStr">
        <is>
          <t>KEYWORD (partial match, case-insensitive)</t>
        </is>
      </c>
      <c r="C5" s="87" t="inlineStr">
        <is>
          <t>CATEGORY</t>
        </is>
      </c>
      <c r="D5" s="87" t="inlineStr">
        <is>
          <t>NOTES</t>
        </is>
      </c>
    </row>
    <row r="6" ht="18" customHeight="1">
      <c r="A6" s="10" t="n"/>
      <c r="B6" s="91" t="inlineStr">
        <is>
          <t>SHELL</t>
        </is>
      </c>
      <c r="C6" s="84" t="inlineStr">
        <is>
          <t>Gas</t>
        </is>
      </c>
      <c r="D6" s="57" t="n"/>
    </row>
    <row r="7" ht="18" customHeight="1">
      <c r="A7" s="14" t="n"/>
      <c r="B7" s="92" t="inlineStr">
        <is>
          <t>EXXON</t>
        </is>
      </c>
      <c r="C7" s="81" t="inlineStr">
        <is>
          <t>Gas</t>
        </is>
      </c>
      <c r="D7" s="2" t="n"/>
    </row>
    <row r="8" ht="18" customHeight="1">
      <c r="A8" s="10" t="n"/>
      <c r="B8" s="91" t="inlineStr">
        <is>
          <t>CHEVRON</t>
        </is>
      </c>
      <c r="C8" s="84" t="inlineStr">
        <is>
          <t>Gas</t>
        </is>
      </c>
      <c r="D8" s="57" t="n"/>
    </row>
    <row r="9" ht="18" customHeight="1">
      <c r="A9" s="14" t="n"/>
      <c r="B9" s="92" t="inlineStr">
        <is>
          <t>MARATHON</t>
        </is>
      </c>
      <c r="C9" s="81" t="inlineStr">
        <is>
          <t>Gas</t>
        </is>
      </c>
      <c r="D9" s="2" t="n"/>
    </row>
    <row r="10" ht="18" customHeight="1">
      <c r="A10" s="10" t="n"/>
      <c r="B10" s="91" t="inlineStr">
        <is>
          <t>CIRCLE K</t>
        </is>
      </c>
      <c r="C10" s="84" t="inlineStr">
        <is>
          <t>Gas</t>
        </is>
      </c>
      <c r="D10" s="57" t="n"/>
    </row>
    <row r="11" ht="18" customHeight="1">
      <c r="A11" s="14" t="n"/>
      <c r="B11" s="92" t="inlineStr">
        <is>
          <t>MURPHY</t>
        </is>
      </c>
      <c r="C11" s="81" t="inlineStr">
        <is>
          <t>Gas</t>
        </is>
      </c>
      <c r="D11" s="2" t="n"/>
    </row>
    <row r="12" ht="18" customHeight="1">
      <c r="A12" s="10" t="n"/>
      <c r="B12" s="91" t="inlineStr">
        <is>
          <t>RACEWAY</t>
        </is>
      </c>
      <c r="C12" s="84" t="inlineStr">
        <is>
          <t>Gas</t>
        </is>
      </c>
      <c r="D12" s="57" t="n"/>
    </row>
    <row r="13" ht="18" customHeight="1">
      <c r="A13" s="14" t="n"/>
      <c r="B13" s="92" t="inlineStr">
        <is>
          <t>QUIKTRIP</t>
        </is>
      </c>
      <c r="C13" s="81" t="inlineStr">
        <is>
          <t>Gas</t>
        </is>
      </c>
      <c r="D13" s="2" t="n"/>
    </row>
    <row r="14" ht="18" customHeight="1">
      <c r="A14" s="10" t="n"/>
      <c r="B14" s="91" t="inlineStr">
        <is>
          <t xml:space="preserve">BP </t>
        </is>
      </c>
      <c r="C14" s="84" t="inlineStr">
        <is>
          <t>Gas</t>
        </is>
      </c>
      <c r="D14" s="57" t="n"/>
    </row>
    <row r="15" ht="18" customHeight="1">
      <c r="A15" s="14" t="n"/>
      <c r="B15" s="92" t="inlineStr">
        <is>
          <t>PILOT</t>
        </is>
      </c>
      <c r="C15" s="81" t="inlineStr">
        <is>
          <t>Gas</t>
        </is>
      </c>
      <c r="D15" s="2" t="n"/>
    </row>
    <row r="16" ht="18" customHeight="1">
      <c r="A16" s="10" t="n"/>
      <c r="B16" s="91" t="inlineStr">
        <is>
          <t>MAPCO</t>
        </is>
      </c>
      <c r="C16" s="84" t="inlineStr">
        <is>
          <t>Gas</t>
        </is>
      </c>
      <c r="D16" s="57" t="n"/>
    </row>
    <row r="17" ht="18" customHeight="1">
      <c r="A17" s="14" t="n"/>
      <c r="B17" s="92" t="inlineStr">
        <is>
          <t>TEXACO</t>
        </is>
      </c>
      <c r="C17" s="81" t="inlineStr">
        <is>
          <t>Gas</t>
        </is>
      </c>
      <c r="D17" s="2" t="n"/>
    </row>
    <row r="18" ht="18" customHeight="1">
      <c r="A18" s="10" t="n"/>
      <c r="B18" s="91" t="inlineStr">
        <is>
          <t>HT EXPRESS</t>
        </is>
      </c>
      <c r="C18" s="84" t="inlineStr">
        <is>
          <t>Gas</t>
        </is>
      </c>
      <c r="D18" s="57" t="n"/>
    </row>
    <row r="19" ht="18" customHeight="1">
      <c r="A19" s="14" t="n"/>
      <c r="B19" s="92" t="inlineStr">
        <is>
          <t>SITE</t>
        </is>
      </c>
      <c r="C19" s="81" t="inlineStr">
        <is>
          <t>Gas</t>
        </is>
      </c>
      <c r="D19" s="2" t="n"/>
    </row>
    <row r="20" ht="18" customHeight="1">
      <c r="A20" s="10" t="n"/>
      <c r="B20" s="91" t="inlineStr">
        <is>
          <t>WALMART</t>
        </is>
      </c>
      <c r="C20" s="84" t="inlineStr">
        <is>
          <t>Groceries</t>
        </is>
      </c>
      <c r="D20" s="57" t="n"/>
    </row>
    <row r="21" ht="18" customHeight="1">
      <c r="A21" s="14" t="n"/>
      <c r="B21" s="92" t="inlineStr">
        <is>
          <t>WAL-MART</t>
        </is>
      </c>
      <c r="C21" s="81" t="inlineStr">
        <is>
          <t>Groceries</t>
        </is>
      </c>
      <c r="D21" s="2" t="n"/>
    </row>
    <row r="22" ht="18" customHeight="1">
      <c r="A22" s="10" t="n"/>
      <c r="B22" s="91" t="inlineStr">
        <is>
          <t xml:space="preserve">W. M. </t>
        </is>
      </c>
      <c r="C22" s="84" t="inlineStr">
        <is>
          <t>Groceries</t>
        </is>
      </c>
      <c r="D22" s="57" t="n"/>
    </row>
    <row r="23" ht="18" customHeight="1">
      <c r="A23" s="14" t="n"/>
      <c r="B23" s="92" t="inlineStr">
        <is>
          <t>PUBLIX</t>
        </is>
      </c>
      <c r="C23" s="81" t="inlineStr">
        <is>
          <t>Groceries</t>
        </is>
      </c>
      <c r="D23" s="2" t="n"/>
    </row>
    <row r="24" ht="18" customHeight="1">
      <c r="A24" s="10" t="n"/>
      <c r="B24" s="91" t="inlineStr">
        <is>
          <t>KROGER</t>
        </is>
      </c>
      <c r="C24" s="84" t="inlineStr">
        <is>
          <t>Groceries</t>
        </is>
      </c>
      <c r="D24" s="57" t="n"/>
    </row>
    <row r="25" ht="18" customHeight="1">
      <c r="A25" s="14" t="n"/>
      <c r="B25" s="92" t="inlineStr">
        <is>
          <t>ALDI</t>
        </is>
      </c>
      <c r="C25" s="81" t="inlineStr">
        <is>
          <t>Groceries</t>
        </is>
      </c>
      <c r="D25" s="2" t="n"/>
    </row>
    <row r="26" ht="18" customHeight="1">
      <c r="A26" s="10" t="n"/>
      <c r="B26" s="91" t="inlineStr">
        <is>
          <t>WINN</t>
        </is>
      </c>
      <c r="C26" s="84" t="inlineStr">
        <is>
          <t>Groceries</t>
        </is>
      </c>
      <c r="D26" s="57" t="n"/>
    </row>
    <row r="27" ht="18" customHeight="1">
      <c r="A27" s="14" t="n"/>
      <c r="B27" s="92" t="inlineStr">
        <is>
          <t>FOOD GIANT</t>
        </is>
      </c>
      <c r="C27" s="81" t="inlineStr">
        <is>
          <t>Groceries</t>
        </is>
      </c>
      <c r="D27" s="2" t="n"/>
    </row>
    <row r="28" ht="18" customHeight="1">
      <c r="A28" s="10" t="n"/>
      <c r="B28" s="91" t="inlineStr">
        <is>
          <t>SAMS</t>
        </is>
      </c>
      <c r="C28" s="84" t="inlineStr">
        <is>
          <t>Groceries</t>
        </is>
      </c>
      <c r="D28" s="57" t="n"/>
    </row>
    <row r="29" ht="18" customHeight="1">
      <c r="A29" s="14" t="n"/>
      <c r="B29" s="92" t="inlineStr">
        <is>
          <t>GROCER</t>
        </is>
      </c>
      <c r="C29" s="81" t="inlineStr">
        <is>
          <t>Groceries</t>
        </is>
      </c>
      <c r="D29" s="2" t="n"/>
    </row>
    <row r="30" ht="18" customHeight="1">
      <c r="A30" s="10" t="n"/>
      <c r="B30" s="91" t="inlineStr">
        <is>
          <t>PIC'N SAVE</t>
        </is>
      </c>
      <c r="C30" s="84" t="inlineStr">
        <is>
          <t>Groceries</t>
        </is>
      </c>
      <c r="D30" s="57" t="n"/>
    </row>
    <row r="31" ht="18" customHeight="1">
      <c r="A31" s="14" t="n"/>
      <c r="B31" s="92" t="inlineStr">
        <is>
          <t>DORSEY</t>
        </is>
      </c>
      <c r="C31" s="81" t="inlineStr">
        <is>
          <t>Groceries</t>
        </is>
      </c>
      <c r="D31" s="2" t="n"/>
    </row>
    <row r="32" ht="18" customHeight="1">
      <c r="A32" s="10" t="n"/>
      <c r="B32" s="91" t="inlineStr">
        <is>
          <t>PIGGLY</t>
        </is>
      </c>
      <c r="C32" s="84" t="inlineStr">
        <is>
          <t>Groceries</t>
        </is>
      </c>
      <c r="D32" s="57" t="n"/>
    </row>
    <row r="33" ht="18" customHeight="1">
      <c r="A33" s="14" t="n"/>
      <c r="B33" s="92" t="inlineStr">
        <is>
          <t>PERRYLAND</t>
        </is>
      </c>
      <c r="C33" s="81" t="inlineStr">
        <is>
          <t>Groceries</t>
        </is>
      </c>
      <c r="D33" s="2" t="n"/>
    </row>
    <row r="34" ht="18" customHeight="1">
      <c r="A34" s="10" t="n"/>
      <c r="B34" s="91" t="inlineStr">
        <is>
          <t>BREEDS</t>
        </is>
      </c>
      <c r="C34" s="84" t="inlineStr">
        <is>
          <t>Groceries</t>
        </is>
      </c>
      <c r="D34" s="57" t="n"/>
    </row>
    <row r="35" ht="18" customHeight="1">
      <c r="A35" s="14" t="n"/>
      <c r="B35" s="92" t="inlineStr">
        <is>
          <t>MUNFORD</t>
        </is>
      </c>
      <c r="C35" s="81" t="inlineStr">
        <is>
          <t>Groceries</t>
        </is>
      </c>
      <c r="D35" s="2" t="n"/>
    </row>
    <row r="36" ht="18" customHeight="1">
      <c r="A36" s="10" t="n"/>
      <c r="B36" s="91" t="inlineStr">
        <is>
          <t>MCDONALD</t>
        </is>
      </c>
      <c r="C36" s="84" t="inlineStr">
        <is>
          <t>Spending</t>
        </is>
      </c>
      <c r="D36" s="57" t="n"/>
    </row>
    <row r="37" ht="18" customHeight="1">
      <c r="A37" s="14" t="n"/>
      <c r="B37" s="92" t="inlineStr">
        <is>
          <t>BURGER</t>
        </is>
      </c>
      <c r="C37" s="81" t="inlineStr">
        <is>
          <t>Spending</t>
        </is>
      </c>
      <c r="D37" s="2" t="n"/>
    </row>
    <row r="38" ht="18" customHeight="1">
      <c r="A38" s="10" t="n"/>
      <c r="B38" s="91" t="inlineStr">
        <is>
          <t>WENDY</t>
        </is>
      </c>
      <c r="C38" s="84" t="inlineStr">
        <is>
          <t>Spending</t>
        </is>
      </c>
      <c r="D38" s="57" t="n"/>
    </row>
    <row r="39" ht="18" customHeight="1">
      <c r="A39" s="14" t="n"/>
      <c r="B39" s="92" t="inlineStr">
        <is>
          <t>TACO</t>
        </is>
      </c>
      <c r="C39" s="81" t="inlineStr">
        <is>
          <t>Spending</t>
        </is>
      </c>
      <c r="D39" s="2" t="n"/>
    </row>
    <row r="40" ht="18" customHeight="1">
      <c r="A40" s="10" t="n"/>
      <c r="B40" s="91" t="inlineStr">
        <is>
          <t>CHICK</t>
        </is>
      </c>
      <c r="C40" s="84" t="inlineStr">
        <is>
          <t>Spending</t>
        </is>
      </c>
      <c r="D40" s="57" t="n"/>
    </row>
    <row r="41" ht="18" customHeight="1">
      <c r="A41" s="14" t="n"/>
      <c r="B41" s="92" t="inlineStr">
        <is>
          <t>STARBUCK</t>
        </is>
      </c>
      <c r="C41" s="81" t="inlineStr">
        <is>
          <t>Spending</t>
        </is>
      </c>
      <c r="D41" s="2" t="n"/>
    </row>
    <row r="42" ht="18" customHeight="1">
      <c r="A42" s="10" t="n"/>
      <c r="B42" s="91" t="inlineStr">
        <is>
          <t>DOORDASH</t>
        </is>
      </c>
      <c r="C42" s="84" t="inlineStr">
        <is>
          <t>Spending</t>
        </is>
      </c>
      <c r="D42" s="57" t="n"/>
    </row>
    <row r="43" ht="18" customHeight="1">
      <c r="A43" s="14" t="n"/>
      <c r="B43" s="92" t="inlineStr">
        <is>
          <t>UBER EATS</t>
        </is>
      </c>
      <c r="C43" s="81" t="inlineStr">
        <is>
          <t>Spending</t>
        </is>
      </c>
      <c r="D43" s="2" t="n"/>
    </row>
    <row r="44" ht="18" customHeight="1">
      <c r="A44" s="10" t="n"/>
      <c r="B44" s="91" t="inlineStr">
        <is>
          <t xml:space="preserve">BAR </t>
        </is>
      </c>
      <c r="C44" s="84" t="inlineStr">
        <is>
          <t>Spending</t>
        </is>
      </c>
      <c r="D44" s="57" t="n"/>
    </row>
    <row r="45" ht="18" customHeight="1">
      <c r="A45" s="14" t="n"/>
      <c r="B45" s="92" t="inlineStr">
        <is>
          <t>LIQUOR</t>
        </is>
      </c>
      <c r="C45" s="81" t="inlineStr">
        <is>
          <t>Spending</t>
        </is>
      </c>
      <c r="D45" s="2" t="n"/>
    </row>
    <row r="46" ht="18" customHeight="1">
      <c r="A46" s="10" t="n"/>
      <c r="B46" s="91" t="inlineStr">
        <is>
          <t>AMAZON</t>
        </is>
      </c>
      <c r="C46" s="84" t="inlineStr">
        <is>
          <t>Spending</t>
        </is>
      </c>
      <c r="D46" s="57" t="n"/>
    </row>
    <row r="47" ht="18" customHeight="1">
      <c r="A47" s="14" t="n"/>
      <c r="B47" s="92" t="inlineStr">
        <is>
          <t>DOLLAR</t>
        </is>
      </c>
      <c r="C47" s="81" t="inlineStr">
        <is>
          <t>Spending</t>
        </is>
      </c>
      <c r="D47" s="2" t="n"/>
    </row>
    <row r="48" ht="18" customHeight="1">
      <c r="A48" s="10" t="n"/>
      <c r="B48" s="91" t="inlineStr">
        <is>
          <t>JACK'S</t>
        </is>
      </c>
      <c r="C48" s="84" t="inlineStr">
        <is>
          <t>Spending</t>
        </is>
      </c>
      <c r="D48" s="57" t="n"/>
    </row>
    <row r="49" ht="18" customHeight="1">
      <c r="A49" s="14" t="n"/>
      <c r="B49" s="92" t="inlineStr">
        <is>
          <t>WHATABURGER</t>
        </is>
      </c>
      <c r="C49" s="81" t="inlineStr">
        <is>
          <t>Spending</t>
        </is>
      </c>
      <c r="D49" s="2" t="n"/>
    </row>
    <row r="50" ht="18" customHeight="1">
      <c r="A50" s="10" t="n"/>
      <c r="B50" s="91" t="inlineStr">
        <is>
          <t>COOK OUT</t>
        </is>
      </c>
      <c r="C50" s="84" t="inlineStr">
        <is>
          <t>Spending</t>
        </is>
      </c>
      <c r="D50" s="57" t="n"/>
    </row>
    <row r="51" ht="18" customHeight="1">
      <c r="A51" s="14" t="n"/>
      <c r="B51" s="92" t="inlineStr">
        <is>
          <t>BOJANGLES</t>
        </is>
      </c>
      <c r="C51" s="81" t="inlineStr">
        <is>
          <t>Spending</t>
        </is>
      </c>
      <c r="D51" s="2" t="n"/>
    </row>
    <row r="52" ht="18" customHeight="1">
      <c r="A52" s="10" t="n"/>
      <c r="B52" s="91" t="inlineStr">
        <is>
          <t>WAFFLE HOUSE</t>
        </is>
      </c>
      <c r="C52" s="84" t="inlineStr">
        <is>
          <t>Spending</t>
        </is>
      </c>
      <c r="D52" s="57" t="n"/>
    </row>
    <row r="53" ht="18" customHeight="1">
      <c r="A53" s="14" t="n"/>
      <c r="B53" s="92" t="inlineStr">
        <is>
          <t>LITTLE CAES</t>
        </is>
      </c>
      <c r="C53" s="81" t="inlineStr">
        <is>
          <t>Spending</t>
        </is>
      </c>
      <c r="D53" s="2" t="n"/>
    </row>
    <row r="54" ht="18" customHeight="1">
      <c r="A54" s="10" t="n"/>
      <c r="B54" s="91" t="inlineStr">
        <is>
          <t>DOMINO</t>
        </is>
      </c>
      <c r="C54" s="84" t="inlineStr">
        <is>
          <t>Spending</t>
        </is>
      </c>
      <c r="D54" s="57" t="n"/>
    </row>
    <row r="55" ht="18" customHeight="1">
      <c r="A55" s="14" t="n"/>
      <c r="B55" s="92" t="inlineStr">
        <is>
          <t>SUBWAY</t>
        </is>
      </c>
      <c r="C55" s="81" t="inlineStr">
        <is>
          <t>Spending</t>
        </is>
      </c>
      <c r="D55" s="2" t="n"/>
    </row>
    <row r="56" ht="18" customHeight="1">
      <c r="A56" s="10" t="n"/>
      <c r="B56" s="91" t="inlineStr">
        <is>
          <t>DAIRY QUEEN</t>
        </is>
      </c>
      <c r="C56" s="84" t="inlineStr">
        <is>
          <t>Spending</t>
        </is>
      </c>
      <c r="D56" s="57" t="n"/>
    </row>
    <row r="57" ht="18" customHeight="1">
      <c r="A57" s="14" t="n"/>
      <c r="B57" s="92" t="inlineStr">
        <is>
          <t>ZAXBY</t>
        </is>
      </c>
      <c r="C57" s="81" t="inlineStr">
        <is>
          <t>Spending</t>
        </is>
      </c>
      <c r="D57" s="2" t="n"/>
    </row>
    <row r="58" ht="18" customHeight="1">
      <c r="A58" s="10" t="n"/>
      <c r="B58" s="91" t="inlineStr">
        <is>
          <t>BAJA</t>
        </is>
      </c>
      <c r="C58" s="84" t="inlineStr">
        <is>
          <t>Spending</t>
        </is>
      </c>
      <c r="D58" s="57" t="n"/>
    </row>
    <row r="59" ht="18" customHeight="1">
      <c r="A59" s="14" t="n"/>
      <c r="B59" s="92" t="inlineStr">
        <is>
          <t>ROCK N ROOST</t>
        </is>
      </c>
      <c r="C59" s="81" t="inlineStr">
        <is>
          <t>Spending</t>
        </is>
      </c>
      <c r="D59" s="2" t="n"/>
    </row>
    <row r="60" ht="18" customHeight="1">
      <c r="A60" s="10" t="n"/>
      <c r="B60" s="91" t="inlineStr">
        <is>
          <t>JEFFERSON</t>
        </is>
      </c>
      <c r="C60" s="84" t="inlineStr">
        <is>
          <t>Spending</t>
        </is>
      </c>
      <c r="D60" s="57" t="n"/>
    </row>
    <row r="61" ht="18" customHeight="1">
      <c r="A61" s="14" t="n"/>
      <c r="B61" s="92" t="inlineStr">
        <is>
          <t>CASH APP</t>
        </is>
      </c>
      <c r="C61" s="81" t="inlineStr">
        <is>
          <t>Spending</t>
        </is>
      </c>
      <c r="D61" s="2" t="n"/>
    </row>
    <row r="62" ht="18" customHeight="1">
      <c r="A62" s="10" t="n"/>
      <c r="B62" s="91" t="inlineStr">
        <is>
          <t>NETFLIX</t>
        </is>
      </c>
      <c r="C62" s="84" t="inlineStr">
        <is>
          <t>Spending</t>
        </is>
      </c>
      <c r="D62" s="57" t="n"/>
    </row>
    <row r="63" ht="18" customHeight="1">
      <c r="A63" s="14" t="n"/>
      <c r="B63" s="92" t="inlineStr">
        <is>
          <t>SPOTIFY</t>
        </is>
      </c>
      <c r="C63" s="81" t="inlineStr">
        <is>
          <t>Spending</t>
        </is>
      </c>
      <c r="D63" s="2" t="n"/>
    </row>
    <row r="64" ht="18" customHeight="1">
      <c r="A64" s="10" t="n"/>
      <c r="B64" s="91" t="inlineStr">
        <is>
          <t>APPLE.COM</t>
        </is>
      </c>
      <c r="C64" s="84" t="inlineStr">
        <is>
          <t>Spending</t>
        </is>
      </c>
      <c r="D64" s="57" t="n"/>
    </row>
    <row r="65" ht="18" customHeight="1">
      <c r="A65" s="14" t="n"/>
      <c r="B65" s="92" t="inlineStr">
        <is>
          <t>CLAUDE</t>
        </is>
      </c>
      <c r="C65" s="81" t="inlineStr">
        <is>
          <t>Spending</t>
        </is>
      </c>
      <c r="D65" s="2" t="n"/>
    </row>
    <row r="66" ht="18" customHeight="1">
      <c r="A66" s="10" t="n"/>
      <c r="B66" s="91" t="inlineStr">
        <is>
          <t>ANTHROPIC</t>
        </is>
      </c>
      <c r="C66" s="84" t="inlineStr">
        <is>
          <t>Spending</t>
        </is>
      </c>
      <c r="D66" s="57" t="n"/>
    </row>
    <row r="67" ht="18" customHeight="1">
      <c r="A67" s="14" t="n"/>
      <c r="B67" s="92" t="inlineStr">
        <is>
          <t>TINDER</t>
        </is>
      </c>
      <c r="C67" s="81" t="inlineStr">
        <is>
          <t>Spending</t>
        </is>
      </c>
      <c r="D67" s="2" t="n"/>
    </row>
    <row r="68" ht="18" customHeight="1">
      <c r="A68" s="10" t="n"/>
      <c r="B68" s="91" t="inlineStr">
        <is>
          <t>OURARING</t>
        </is>
      </c>
      <c r="C68" s="84" t="inlineStr">
        <is>
          <t>Spending</t>
        </is>
      </c>
      <c r="D68" s="57" t="n"/>
    </row>
    <row r="69" ht="18" customHeight="1">
      <c r="A69" s="14" t="n"/>
      <c r="B69" s="92" t="inlineStr">
        <is>
          <t>ADVANCE AUTO</t>
        </is>
      </c>
      <c r="C69" s="81" t="inlineStr">
        <is>
          <t>Spending</t>
        </is>
      </c>
      <c r="D69" s="2" t="n"/>
    </row>
    <row r="70" ht="18" customHeight="1">
      <c r="A70" s="10" t="n"/>
      <c r="B70" s="91" t="inlineStr">
        <is>
          <t>AUTOZONE</t>
        </is>
      </c>
      <c r="C70" s="84" t="inlineStr">
        <is>
          <t>Spending</t>
        </is>
      </c>
      <c r="D70" s="57" t="n"/>
    </row>
    <row r="71" ht="18" customHeight="1">
      <c r="A71" s="14" t="n"/>
      <c r="B71" s="92" t="inlineStr">
        <is>
          <t>ROCK AUTO</t>
        </is>
      </c>
      <c r="C71" s="81" t="inlineStr">
        <is>
          <t>Spending</t>
        </is>
      </c>
      <c r="D71" s="2" t="n"/>
    </row>
    <row r="72" ht="18" customHeight="1">
      <c r="A72" s="10" t="n"/>
      <c r="B72" s="91" t="inlineStr">
        <is>
          <t>HARBOR FREIGHT</t>
        </is>
      </c>
      <c r="C72" s="84" t="inlineStr">
        <is>
          <t>Spending</t>
        </is>
      </c>
      <c r="D72" s="57" t="n"/>
    </row>
    <row r="73" ht="18" customHeight="1">
      <c r="A73" s="14" t="n"/>
      <c r="B73" s="92" t="inlineStr">
        <is>
          <t>EXPRESS OIL</t>
        </is>
      </c>
      <c r="C73" s="81" t="inlineStr">
        <is>
          <t>Spending</t>
        </is>
      </c>
      <c r="D73" s="2" t="n"/>
    </row>
    <row r="74" ht="18" customHeight="1">
      <c r="A74" s="10" t="n"/>
      <c r="B74" s="91" t="inlineStr">
        <is>
          <t>LOWE'S</t>
        </is>
      </c>
      <c r="C74" s="84" t="inlineStr">
        <is>
          <t>Spending</t>
        </is>
      </c>
      <c r="D74" s="57" t="n"/>
    </row>
    <row r="75" ht="18" customHeight="1">
      <c r="A75" s="14" t="n"/>
      <c r="B75" s="92" t="inlineStr">
        <is>
          <t>ALABAMA POWER</t>
        </is>
      </c>
      <c r="C75" s="81" t="inlineStr">
        <is>
          <t>Power</t>
        </is>
      </c>
      <c r="D75" s="2" t="n"/>
    </row>
    <row r="76" ht="18" customHeight="1">
      <c r="A76" s="10" t="n"/>
      <c r="B76" s="91" t="inlineStr">
        <is>
          <t>POWER CO</t>
        </is>
      </c>
      <c r="C76" s="84" t="inlineStr">
        <is>
          <t>Power</t>
        </is>
      </c>
      <c r="D76" s="57" t="n"/>
    </row>
    <row r="77" ht="18" customHeight="1">
      <c r="A77" s="14" t="n"/>
      <c r="B77" s="92" t="inlineStr">
        <is>
          <t>ELECTRIC</t>
        </is>
      </c>
      <c r="C77" s="81" t="inlineStr">
        <is>
          <t>Power</t>
        </is>
      </c>
      <c r="D77" s="2" t="n"/>
    </row>
    <row r="78" ht="18" customHeight="1">
      <c r="A78" s="10" t="n"/>
      <c r="B78" s="91" t="inlineStr">
        <is>
          <t>CALHOUN COUNTY</t>
        </is>
      </c>
      <c r="C78" s="84" t="inlineStr">
        <is>
          <t>Water</t>
        </is>
      </c>
      <c r="D78" s="57" t="n"/>
    </row>
    <row r="79" ht="18" customHeight="1">
      <c r="A79" s="14" t="n"/>
      <c r="B79" s="92" t="inlineStr">
        <is>
          <t>WATER</t>
        </is>
      </c>
      <c r="C79" s="81" t="inlineStr">
        <is>
          <t>Water</t>
        </is>
      </c>
      <c r="D79" s="2" t="n"/>
    </row>
    <row r="80" ht="18" customHeight="1">
      <c r="A80" s="10" t="n"/>
      <c r="B80" s="91" t="inlineStr">
        <is>
          <t>SEWER</t>
        </is>
      </c>
      <c r="C80" s="84" t="inlineStr">
        <is>
          <t>Water</t>
        </is>
      </c>
      <c r="D80" s="57" t="n"/>
    </row>
    <row r="81" ht="18" customHeight="1">
      <c r="A81" s="14" t="n"/>
      <c r="B81" s="92" t="inlineStr">
        <is>
          <t>SPARKLIGHT</t>
        </is>
      </c>
      <c r="C81" s="81" t="inlineStr">
        <is>
          <t>Internet</t>
        </is>
      </c>
      <c r="D81" s="2" t="n"/>
    </row>
    <row r="82" ht="18" customHeight="1">
      <c r="A82" s="10" t="n"/>
      <c r="B82" s="91" t="inlineStr">
        <is>
          <t>SPECTRUM</t>
        </is>
      </c>
      <c r="C82" s="84" t="inlineStr">
        <is>
          <t>Internet</t>
        </is>
      </c>
      <c r="D82" s="57" t="n"/>
    </row>
    <row r="83" ht="18" customHeight="1">
      <c r="A83" s="14" t="n"/>
      <c r="B83" s="92" t="inlineStr">
        <is>
          <t>XFINITY</t>
        </is>
      </c>
      <c r="C83" s="81" t="inlineStr">
        <is>
          <t>Internet</t>
        </is>
      </c>
      <c r="D83" s="2" t="n"/>
    </row>
    <row r="84" ht="18" customHeight="1">
      <c r="A84" s="10" t="n"/>
      <c r="B84" s="91" t="inlineStr">
        <is>
          <t>COMCAST</t>
        </is>
      </c>
      <c r="C84" s="84" t="inlineStr">
        <is>
          <t>Internet</t>
        </is>
      </c>
      <c r="D84" s="57" t="n"/>
    </row>
    <row r="85" ht="18" customHeight="1">
      <c r="A85" s="14" t="n"/>
      <c r="B85" s="92" t="inlineStr">
        <is>
          <t>INTERNET</t>
        </is>
      </c>
      <c r="C85" s="81" t="inlineStr">
        <is>
          <t>Internet</t>
        </is>
      </c>
      <c r="D85" s="2" t="n"/>
    </row>
    <row r="86" ht="18" customHeight="1">
      <c r="A86" s="10" t="n"/>
      <c r="B86" s="91" t="inlineStr">
        <is>
          <t>WASTE</t>
        </is>
      </c>
      <c r="C86" s="84" t="inlineStr">
        <is>
          <t>Trash</t>
        </is>
      </c>
      <c r="D86" s="57" t="n"/>
    </row>
    <row r="87" ht="18" customHeight="1">
      <c r="A87" s="14" t="n"/>
      <c r="B87" s="92" t="inlineStr">
        <is>
          <t>SANITATION</t>
        </is>
      </c>
      <c r="C87" s="81" t="inlineStr">
        <is>
          <t>Trash</t>
        </is>
      </c>
      <c r="D87" s="2" t="n"/>
    </row>
    <row r="88" ht="18" customHeight="1">
      <c r="A88" s="10" t="n"/>
      <c r="B88" s="91" t="inlineStr">
        <is>
          <t>TRASH</t>
        </is>
      </c>
      <c r="C88" s="84" t="inlineStr">
        <is>
          <t>Trash</t>
        </is>
      </c>
      <c r="D88" s="57" t="n"/>
    </row>
    <row r="89" ht="18" customHeight="1">
      <c r="A89" s="14" t="n"/>
      <c r="B89" s="92" t="inlineStr">
        <is>
          <t>MORTGAGE</t>
        </is>
      </c>
      <c r="C89" s="81" t="inlineStr">
        <is>
          <t>Mortgage</t>
        </is>
      </c>
      <c r="D89" s="2" t="n"/>
    </row>
    <row r="90" ht="18" customHeight="1">
      <c r="A90" s="10" t="n"/>
      <c r="B90" s="91" t="inlineStr">
        <is>
          <t>LOAN PMT</t>
        </is>
      </c>
      <c r="C90" s="84" t="inlineStr">
        <is>
          <t>Mortgage</t>
        </is>
      </c>
      <c r="D90" s="57" t="n"/>
    </row>
    <row r="91" ht="18" customHeight="1">
      <c r="A91" s="14" t="n"/>
      <c r="B91" s="92" t="inlineStr">
        <is>
          <t>INSURANCE</t>
        </is>
      </c>
      <c r="C91" s="81" t="inlineStr">
        <is>
          <t>Insurance</t>
        </is>
      </c>
      <c r="D91" s="2" t="n"/>
    </row>
    <row r="92" ht="18" customHeight="1">
      <c r="A92" s="10" t="n"/>
      <c r="B92" s="91" t="inlineStr">
        <is>
          <t>GEICO</t>
        </is>
      </c>
      <c r="C92" s="84" t="inlineStr">
        <is>
          <t>Insurance</t>
        </is>
      </c>
      <c r="D92" s="57" t="n"/>
    </row>
    <row r="93" ht="18" customHeight="1">
      <c r="A93" s="14" t="n"/>
      <c r="B93" s="92" t="inlineStr">
        <is>
          <t>STATE FARM</t>
        </is>
      </c>
      <c r="C93" s="81" t="inlineStr">
        <is>
          <t>Insurance</t>
        </is>
      </c>
      <c r="D93" s="2" t="n"/>
    </row>
    <row r="94" ht="18" customHeight="1">
      <c r="A94" s="10" t="n"/>
      <c r="B94" s="91" t="inlineStr">
        <is>
          <t>ALLSTATE</t>
        </is>
      </c>
      <c r="C94" s="84" t="inlineStr">
        <is>
          <t>Insurance</t>
        </is>
      </c>
      <c r="D94" s="57" t="n"/>
    </row>
    <row r="95" ht="18" customHeight="1">
      <c r="A95" s="14" t="n"/>
      <c r="B95" s="92" t="inlineStr">
        <is>
          <t>PROGRESSIVE</t>
        </is>
      </c>
      <c r="C95" s="81" t="inlineStr">
        <is>
          <t>Insurance</t>
        </is>
      </c>
      <c r="D95" s="2" t="n"/>
    </row>
    <row r="96" ht="18" customHeight="1">
      <c r="A96" s="10" t="n"/>
      <c r="B96" s="91" t="inlineStr">
        <is>
          <t>VERIZON</t>
        </is>
      </c>
      <c r="C96" s="84" t="inlineStr">
        <is>
          <t>Phone</t>
        </is>
      </c>
      <c r="D96" s="57" t="n"/>
    </row>
    <row r="97" ht="18" customHeight="1">
      <c r="A97" s="14" t="n"/>
      <c r="B97" s="92" t="inlineStr">
        <is>
          <t>T-MOBILE</t>
        </is>
      </c>
      <c r="C97" s="81" t="inlineStr">
        <is>
          <t>Phone</t>
        </is>
      </c>
      <c r="D97" s="2" t="n"/>
    </row>
    <row r="98" ht="18" customHeight="1">
      <c r="A98" s="10" t="n"/>
      <c r="B98" s="91" t="inlineStr">
        <is>
          <t>CRICKET</t>
        </is>
      </c>
      <c r="C98" s="84" t="inlineStr">
        <is>
          <t>Phone</t>
        </is>
      </c>
      <c r="D98" s="57" t="n"/>
    </row>
    <row r="99" ht="18" customHeight="1">
      <c r="A99" s="14" t="n"/>
      <c r="B99" s="92" t="inlineStr">
        <is>
          <t>AT&amp;T</t>
        </is>
      </c>
      <c r="C99" s="81" t="inlineStr">
        <is>
          <t>Phone</t>
        </is>
      </c>
      <c r="D99" s="2" t="n"/>
    </row>
    <row r="100" ht="18" customHeight="1">
      <c r="A100" s="10" t="n"/>
      <c r="B100" s="91" t="inlineStr">
        <is>
          <t>TRANSFER</t>
        </is>
      </c>
      <c r="C100" s="84" t="inlineStr">
        <is>
          <t>Savings</t>
        </is>
      </c>
      <c r="D100" s="57" t="n"/>
    </row>
    <row r="101" ht="18" customHeight="1">
      <c r="A101" s="14" t="n"/>
      <c r="B101" s="92" t="inlineStr">
        <is>
          <t>VAULT</t>
        </is>
      </c>
      <c r="C101" s="81" t="inlineStr">
        <is>
          <t>Savings</t>
        </is>
      </c>
      <c r="D101" s="2" t="n"/>
    </row>
    <row r="102" ht="18" customHeight="1">
      <c r="A102" s="10" t="n"/>
      <c r="B102" s="91" t="inlineStr">
        <is>
          <t>SAVINGS</t>
        </is>
      </c>
      <c r="C102" s="84" t="inlineStr">
        <is>
          <t>Savings</t>
        </is>
      </c>
      <c r="D102" s="57" t="n"/>
    </row>
    <row r="103" ht="18" customHeight="1">
      <c r="A103" s="14" t="n"/>
      <c r="B103" s="93" t="n"/>
      <c r="C103" s="94" t="n"/>
      <c r="D103" s="14" t="n"/>
    </row>
    <row r="104" ht="18" customHeight="1">
      <c r="A104" s="10" t="n"/>
      <c r="B104" s="95" t="n"/>
      <c r="C104" s="96" t="n"/>
      <c r="D104" s="10" t="n"/>
    </row>
    <row r="105" ht="18" customHeight="1">
      <c r="A105" s="14" t="n"/>
      <c r="B105" s="93" t="n"/>
      <c r="C105" s="94" t="n"/>
      <c r="D105" s="14" t="n"/>
    </row>
    <row r="106" ht="18" customHeight="1">
      <c r="A106" s="10" t="n"/>
      <c r="B106" s="95" t="n"/>
      <c r="C106" s="96" t="n"/>
      <c r="D106" s="10" t="n"/>
    </row>
    <row r="107" ht="18" customHeight="1">
      <c r="A107" s="14" t="n"/>
      <c r="B107" s="93" t="n"/>
      <c r="C107" s="94" t="n"/>
      <c r="D107" s="14" t="n"/>
    </row>
    <row r="108" ht="18" customHeight="1">
      <c r="A108" s="10" t="n"/>
      <c r="B108" s="95" t="n"/>
      <c r="C108" s="96" t="n"/>
      <c r="D108" s="10" t="n"/>
    </row>
    <row r="109" ht="18" customHeight="1">
      <c r="A109" s="14" t="n"/>
      <c r="B109" s="93" t="n"/>
      <c r="C109" s="94" t="n"/>
      <c r="D109" s="14" t="n"/>
    </row>
    <row r="110" ht="18" customHeight="1">
      <c r="A110" s="10" t="n"/>
      <c r="B110" s="95" t="n"/>
      <c r="C110" s="96" t="n"/>
      <c r="D110" s="10" t="n"/>
    </row>
    <row r="111" ht="18" customHeight="1">
      <c r="A111" s="14" t="n"/>
      <c r="B111" s="93" t="n"/>
      <c r="C111" s="94" t="n"/>
      <c r="D111" s="14" t="n"/>
    </row>
    <row r="112" ht="18" customHeight="1">
      <c r="A112" s="10" t="n"/>
      <c r="B112" s="95" t="n"/>
      <c r="C112" s="96" t="n"/>
      <c r="D112" s="10" t="n"/>
    </row>
    <row r="113" ht="18" customHeight="1">
      <c r="A113" s="14" t="n"/>
      <c r="B113" s="93" t="n"/>
      <c r="C113" s="94" t="n"/>
      <c r="D113" s="14" t="n"/>
    </row>
    <row r="114" ht="18" customHeight="1">
      <c r="A114" s="10" t="n"/>
      <c r="B114" s="95" t="n"/>
      <c r="C114" s="96" t="n"/>
      <c r="D114" s="10" t="n"/>
    </row>
    <row r="115" ht="18" customHeight="1">
      <c r="A115" s="14" t="n"/>
      <c r="B115" s="93" t="n"/>
      <c r="C115" s="94" t="n"/>
      <c r="D115" s="14" t="n"/>
    </row>
    <row r="116" ht="18" customHeight="1">
      <c r="A116" s="10" t="n"/>
      <c r="B116" s="95" t="n"/>
      <c r="C116" s="96" t="n"/>
      <c r="D116" s="10" t="n"/>
    </row>
    <row r="117" ht="18" customHeight="1">
      <c r="A117" s="14" t="n"/>
      <c r="B117" s="93" t="n"/>
      <c r="C117" s="94" t="n"/>
      <c r="D117" s="14" t="n"/>
    </row>
    <row r="118" ht="18" customHeight="1">
      <c r="A118" s="10" t="n"/>
      <c r="B118" s="95" t="n"/>
      <c r="C118" s="96" t="n"/>
      <c r="D118" s="10" t="n"/>
    </row>
    <row r="119" ht="18" customHeight="1">
      <c r="A119" s="14" t="n"/>
      <c r="B119" s="93" t="n"/>
      <c r="C119" s="94" t="n"/>
      <c r="D119" s="14" t="n"/>
    </row>
    <row r="120" ht="18" customHeight="1">
      <c r="A120" s="10" t="n"/>
      <c r="B120" s="95" t="n"/>
      <c r="C120" s="96" t="n"/>
      <c r="D120" s="10" t="n"/>
    </row>
    <row r="121" ht="18" customHeight="1">
      <c r="A121" s="14" t="n"/>
      <c r="B121" s="93" t="n"/>
      <c r="C121" s="94" t="n"/>
      <c r="D121" s="14" t="n"/>
    </row>
    <row r="122" ht="18" customHeight="1">
      <c r="A122" s="10" t="n"/>
      <c r="B122" s="95" t="n"/>
      <c r="C122" s="96" t="n"/>
      <c r="D122" s="10" t="n"/>
    </row>
    <row r="123" ht="18" customHeight="1">
      <c r="A123" s="14" t="n"/>
      <c r="B123" s="93" t="n"/>
      <c r="C123" s="94" t="n"/>
      <c r="D123" s="14" t="n"/>
    </row>
    <row r="124" ht="18" customHeight="1">
      <c r="A124" s="10" t="n"/>
      <c r="B124" s="95" t="n"/>
      <c r="C124" s="96" t="n"/>
      <c r="D124" s="10" t="n"/>
    </row>
    <row r="125" ht="18" customHeight="1">
      <c r="A125" s="14" t="n"/>
      <c r="B125" s="93" t="n"/>
      <c r="C125" s="94" t="n"/>
      <c r="D125" s="14" t="n"/>
    </row>
  </sheetData>
  <mergeCells count="3">
    <mergeCell ref="A1:D1"/>
    <mergeCell ref="A3:D3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0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34" customWidth="1" min="3" max="3"/>
    <col width="12" customWidth="1" min="4" max="4"/>
    <col width="15" customWidth="1" min="5" max="5"/>
    <col width="14" customWidth="1" min="6" max="6"/>
    <col width="15" customWidth="1" min="7" max="7"/>
    <col width="12" customWidth="1" min="8" max="8"/>
  </cols>
  <sheetData>
    <row r="1" ht="32" customHeight="1">
      <c r="A1" s="41" t="inlineStr">
        <is>
          <t>TRANSACTIONS — paste from any CSV export</t>
        </is>
      </c>
    </row>
    <row r="2" ht="18" customHeight="1">
      <c r="A2" s="2" t="inlineStr">
        <is>
          <t>Paste Date / Description / Amount into the blue columns (B, C, D). AUTO CAT fills itself from Category Rules. Use OVERRIDE (col F) to correct a wrong category for one row.</t>
        </is>
      </c>
    </row>
    <row r="3" ht="24" customHeight="1">
      <c r="A3" s="90" t="inlineStr">
        <is>
          <t>Amounts: paste spending as POSITIVE numbers. Add merchants to Category Rules whenever AUTO CAT shows "Uncategorized".</t>
        </is>
      </c>
    </row>
    <row r="4" ht="4" customHeight="1"/>
    <row r="5" ht="22" customHeight="1">
      <c r="B5" s="47" t="inlineStr">
        <is>
          <t>DATE</t>
        </is>
      </c>
      <c r="C5" s="47" t="inlineStr">
        <is>
          <t>DESCRIPTION</t>
        </is>
      </c>
      <c r="D5" s="47" t="inlineStr">
        <is>
          <t>AMOUNT</t>
        </is>
      </c>
      <c r="E5" s="97" t="inlineStr">
        <is>
          <t>AUTO CAT</t>
        </is>
      </c>
      <c r="F5" s="49" t="inlineStr">
        <is>
          <t>OVERRIDE</t>
        </is>
      </c>
      <c r="G5" s="50" t="inlineStr">
        <is>
          <t>FINAL CAT</t>
        </is>
      </c>
      <c r="H5" s="42" t="inlineStr">
        <is>
          <t>MONTH</t>
        </is>
      </c>
    </row>
    <row r="6" ht="18" customHeight="1">
      <c r="A6" s="14" t="n"/>
      <c r="B6" s="98" t="inlineStr">
        <is>
          <t>2026-01-01</t>
        </is>
      </c>
      <c r="C6" s="99" t="inlineStr">
        <is>
          <t>WAL-MART #0300</t>
        </is>
      </c>
      <c r="D6" s="100" t="n">
        <v>5.44</v>
      </c>
      <c r="E6" s="104">
        <f>IF($C6="","",IFERROR(LOOKUP(2,1/((ISNUMBER(SEARCH('Category Rules'!$B$6:$B$125,$C6)))*('Category Rules'!$B$6:$B$125&lt;&gt;"")),'Category Rules'!$C$6:$C$125),"Uncategorized"))</f>
        <v/>
      </c>
      <c r="F6" s="108" t="n"/>
      <c r="G6" s="106">
        <f>IF($C6="","",IF($F6&lt;&gt;"",$F6,$E6))</f>
        <v/>
      </c>
      <c r="H6" s="82">
        <f>IF($B6="","",TEXT($B6,"mmm yyyy"))</f>
        <v/>
      </c>
    </row>
    <row r="7" ht="18" customHeight="1">
      <c r="A7" s="10" t="n"/>
      <c r="B7" s="98" t="inlineStr">
        <is>
          <t>2026-01-01</t>
        </is>
      </c>
      <c r="C7" s="99" t="inlineStr">
        <is>
          <t>DOLLAR GENERAL # DG 203</t>
        </is>
      </c>
      <c r="D7" s="100" t="n">
        <v>3.58</v>
      </c>
      <c r="E7" s="101">
        <f>IF($C7="","",IFERROR(LOOKUP(2,1/((ISNUMBER(SEARCH('Category Rules'!$B$6:$B$125,$C7)))*('Category Rules'!$B$6:$B$125&lt;&gt;"")),'Category Rules'!$C$6:$C$125),"Uncategorized"))</f>
        <v/>
      </c>
      <c r="F7" s="108" t="n"/>
      <c r="G7" s="103">
        <f>IF($C7="","",IF($F7&lt;&gt;"",$F7,$E7))</f>
        <v/>
      </c>
      <c r="H7" s="85">
        <f>IF($B7="","",TEXT($B7,"mmm yyyy"))</f>
        <v/>
      </c>
    </row>
    <row r="8" ht="18" customHeight="1">
      <c r="A8" s="14" t="n"/>
      <c r="B8" s="98" t="inlineStr">
        <is>
          <t>2026-01-01</t>
        </is>
      </c>
      <c r="C8" s="99" t="inlineStr">
        <is>
          <t>SQ *JASMYNE TURNER</t>
        </is>
      </c>
      <c r="D8" s="100" t="n">
        <v>30</v>
      </c>
      <c r="E8" s="104">
        <f>IF($C8="","",IFERROR(LOOKUP(2,1/((ISNUMBER(SEARCH('Category Rules'!$B$6:$B$125,$C8)))*('Category Rules'!$B$6:$B$125&lt;&gt;"")),'Category Rules'!$C$6:$C$125),"Uncategorized"))</f>
        <v/>
      </c>
      <c r="F8" s="108" t="n"/>
      <c r="G8" s="106">
        <f>IF($C8="","",IF($F8&lt;&gt;"",$F8,$E8))</f>
        <v/>
      </c>
      <c r="H8" s="82">
        <f>IF($B8="","",TEXT($B8,"mmm yyyy"))</f>
        <v/>
      </c>
    </row>
    <row r="9" ht="18" customHeight="1">
      <c r="A9" s="14" t="n"/>
      <c r="B9" s="98" t="inlineStr">
        <is>
          <t>2026-01-02</t>
        </is>
      </c>
      <c r="C9" s="99" t="inlineStr">
        <is>
          <t>W. M. GROCERY</t>
        </is>
      </c>
      <c r="D9" s="100" t="n">
        <v>3.23</v>
      </c>
      <c r="E9" s="101">
        <f>IF($C9="","",IFERROR(LOOKUP(2,1/((ISNUMBER(SEARCH('Category Rules'!$B$6:$B$125,$C9)))*('Category Rules'!$B$6:$B$125&lt;&gt;"")),'Category Rules'!$C$6:$C$125),"Uncategorized"))</f>
        <v/>
      </c>
      <c r="F9" s="108" t="n"/>
      <c r="G9" s="103">
        <f>IF($C9="","",IF($F9&lt;&gt;"",$F9,$E9))</f>
        <v/>
      </c>
      <c r="H9" s="85">
        <f>IF($B9="","",TEXT($B9,"mmm yyyy"))</f>
        <v/>
      </c>
    </row>
    <row r="10" ht="18" customHeight="1">
      <c r="A10" s="10" t="n"/>
      <c r="B10" s="98" t="inlineStr">
        <is>
          <t>2026-01-02</t>
        </is>
      </c>
      <c r="C10" s="99" t="inlineStr">
        <is>
          <t>W M GROCERY</t>
        </is>
      </c>
      <c r="D10" s="100" t="n">
        <v>2.97</v>
      </c>
      <c r="E10" s="104">
        <f>IF($C10="","",IFERROR(LOOKUP(2,1/((ISNUMBER(SEARCH('Category Rules'!$B$6:$B$125,$C10)))*('Category Rules'!$B$6:$B$125&lt;&gt;"")),'Category Rules'!$C$6:$C$125),"Uncategorized"))</f>
        <v/>
      </c>
      <c r="F10" s="108" t="n"/>
      <c r="G10" s="106">
        <f>IF($C10="","",IF($F10&lt;&gt;"",$F10,$E10))</f>
        <v/>
      </c>
      <c r="H10" s="82">
        <f>IF($B10="","",TEXT($B10,"mmm yyyy"))</f>
        <v/>
      </c>
    </row>
    <row r="11" ht="18" customHeight="1">
      <c r="A11" s="14" t="n"/>
      <c r="B11" s="98" t="inlineStr">
        <is>
          <t>2026-01-02</t>
        </is>
      </c>
      <c r="C11" s="99" t="inlineStr">
        <is>
          <t>AOD FCU</t>
        </is>
      </c>
      <c r="D11" s="100" t="n">
        <v>1.08</v>
      </c>
      <c r="E11" s="101">
        <f>IF($C11="","",IFERROR(LOOKUP(2,1/((ISNUMBER(SEARCH('Category Rules'!$B$6:$B$125,$C11)))*('Category Rules'!$B$6:$B$125&lt;&gt;"")),'Category Rules'!$C$6:$C$125),"Uncategorized"))</f>
        <v/>
      </c>
      <c r="F11" s="108" t="n"/>
      <c r="G11" s="103">
        <f>IF($C11="","",IF($F11&lt;&gt;"",$F11,$E11))</f>
        <v/>
      </c>
      <c r="H11" s="85">
        <f>IF($B11="","",TEXT($B11,"mmm yyyy"))</f>
        <v/>
      </c>
    </row>
    <row r="12" ht="18" customHeight="1">
      <c r="A12" s="10" t="n"/>
      <c r="B12" s="98" t="inlineStr">
        <is>
          <t>2026-01-03</t>
        </is>
      </c>
      <c r="C12" s="99" t="inlineStr">
        <is>
          <t>SITE356852 - CH</t>
        </is>
      </c>
      <c r="D12" s="100" t="n">
        <v>5.82</v>
      </c>
      <c r="E12" s="104">
        <f>IF($C12="","",IFERROR(LOOKUP(2,1/((ISNUMBER(SEARCH('Category Rules'!$B$6:$B$125,$C12)))*('Category Rules'!$B$6:$B$125&lt;&gt;"")),'Category Rules'!$C$6:$C$125),"Uncategorized"))</f>
        <v/>
      </c>
      <c r="F12" s="108" t="n"/>
      <c r="G12" s="106">
        <f>IF($C12="","",IF($F12&lt;&gt;"",$F12,$E12))</f>
        <v/>
      </c>
      <c r="H12" s="82">
        <f>IF($B12="","",TEXT($B12,"mmm yyyy"))</f>
        <v/>
      </c>
    </row>
    <row r="13" ht="18" customHeight="1">
      <c r="A13" s="14" t="n"/>
      <c r="B13" s="98" t="inlineStr">
        <is>
          <t>2026-01-03</t>
        </is>
      </c>
      <c r="C13" s="99" t="inlineStr">
        <is>
          <t>PIGGLY WIGGLY O</t>
        </is>
      </c>
      <c r="D13" s="100" t="n">
        <v>7.86</v>
      </c>
      <c r="E13" s="101">
        <f>IF($C13="","",IFERROR(LOOKUP(2,1/((ISNUMBER(SEARCH('Category Rules'!$B$6:$B$125,$C13)))*('Category Rules'!$B$6:$B$125&lt;&gt;"")),'Category Rules'!$C$6:$C$125),"Uncategorized"))</f>
        <v/>
      </c>
      <c r="F13" s="108" t="n"/>
      <c r="G13" s="103">
        <f>IF($C13="","",IF($F13&lt;&gt;"",$F13,$E13))</f>
        <v/>
      </c>
      <c r="H13" s="85">
        <f>IF($B13="","",TEXT($B13,"mmm yyyy"))</f>
        <v/>
      </c>
    </row>
    <row r="14" ht="18" customHeight="1">
      <c r="A14" s="10" t="n"/>
      <c r="B14" s="98" t="inlineStr">
        <is>
          <t>2026-01-03</t>
        </is>
      </c>
      <c r="C14" s="99" t="inlineStr">
        <is>
          <t>W. M. GROCERY</t>
        </is>
      </c>
      <c r="D14" s="100" t="n">
        <v>11.87</v>
      </c>
      <c r="E14" s="104">
        <f>IF($C14="","",IFERROR(LOOKUP(2,1/((ISNUMBER(SEARCH('Category Rules'!$B$6:$B$125,$C14)))*('Category Rules'!$B$6:$B$125&lt;&gt;"")),'Category Rules'!$C$6:$C$125),"Uncategorized"))</f>
        <v/>
      </c>
      <c r="F14" s="108" t="n"/>
      <c r="G14" s="106">
        <f>IF($C14="","",IF($F14&lt;&gt;"",$F14,$E14))</f>
        <v/>
      </c>
      <c r="H14" s="82">
        <f>IF($B14="","",TEXT($B14,"mmm yyyy"))</f>
        <v/>
      </c>
    </row>
    <row r="15" ht="18" customHeight="1">
      <c r="A15" s="14" t="n"/>
      <c r="B15" s="98" t="inlineStr">
        <is>
          <t>2026-01-03</t>
        </is>
      </c>
      <c r="C15" s="99" t="inlineStr">
        <is>
          <t>CHEVRON 0041124</t>
        </is>
      </c>
      <c r="D15" s="100" t="n">
        <v>59.92</v>
      </c>
      <c r="E15" s="101">
        <f>IF($C15="","",IFERROR(LOOKUP(2,1/((ISNUMBER(SEARCH('Category Rules'!$B$6:$B$125,$C15)))*('Category Rules'!$B$6:$B$125&lt;&gt;"")),'Category Rules'!$C$6:$C$125),"Uncategorized"))</f>
        <v/>
      </c>
      <c r="F15" s="108" t="n"/>
      <c r="G15" s="103">
        <f>IF($C15="","",IF($F15&lt;&gt;"",$F15,$E15))</f>
        <v/>
      </c>
      <c r="H15" s="85">
        <f>IF($B15="","",TEXT($B15,"mmm yyyy"))</f>
        <v/>
      </c>
    </row>
    <row r="16" ht="18" customHeight="1">
      <c r="A16" s="10" t="n"/>
      <c r="B16" s="98" t="inlineStr">
        <is>
          <t>2026-01-03</t>
        </is>
      </c>
      <c r="C16" s="99" t="inlineStr">
        <is>
          <t>PIGGLY WIGGLY #</t>
        </is>
      </c>
      <c r="D16" s="100" t="n">
        <v>3.17</v>
      </c>
      <c r="E16" s="104">
        <f>IF($C16="","",IFERROR(LOOKUP(2,1/((ISNUMBER(SEARCH('Category Rules'!$B$6:$B$125,$C16)))*('Category Rules'!$B$6:$B$125&lt;&gt;"")),'Category Rules'!$C$6:$C$125),"Uncategorized"))</f>
        <v/>
      </c>
      <c r="F16" s="108" t="n"/>
      <c r="G16" s="106">
        <f>IF($C16="","",IF($F16&lt;&gt;"",$F16,$E16))</f>
        <v/>
      </c>
      <c r="H16" s="82">
        <f>IF($B16="","",TEXT($B16,"mmm yyyy"))</f>
        <v/>
      </c>
    </row>
    <row r="17" ht="18" customHeight="1">
      <c r="A17" s="14" t="n"/>
      <c r="B17" s="98" t="inlineStr">
        <is>
          <t>2026-01-04</t>
        </is>
      </c>
      <c r="C17" s="99" t="inlineStr">
        <is>
          <t>WM SUPERCENTER #300</t>
        </is>
      </c>
      <c r="D17" s="100" t="n">
        <v>26.1</v>
      </c>
      <c r="E17" s="101">
        <f>IF($C17="","",IFERROR(LOOKUP(2,1/((ISNUMBER(SEARCH('Category Rules'!$B$6:$B$125,$C17)))*('Category Rules'!$B$6:$B$125&lt;&gt;"")),'Category Rules'!$C$6:$C$125),"Uncategorized"))</f>
        <v/>
      </c>
      <c r="F17" s="108" t="n"/>
      <c r="G17" s="103">
        <f>IF($C17="","",IF($F17&lt;&gt;"",$F17,$E17))</f>
        <v/>
      </c>
      <c r="H17" s="85">
        <f>IF($B17="","",TEXT($B17,"mmm yyyy"))</f>
        <v/>
      </c>
    </row>
    <row r="18" ht="18" customHeight="1">
      <c r="A18" s="10" t="n"/>
      <c r="B18" s="98" t="inlineStr">
        <is>
          <t>2026-01-04</t>
        </is>
      </c>
      <c r="C18" s="99" t="inlineStr">
        <is>
          <t>PIC'N SAVE #248</t>
        </is>
      </c>
      <c r="D18" s="100" t="n">
        <v>6.41</v>
      </c>
      <c r="E18" s="104">
        <f>IF($C18="","",IFERROR(LOOKUP(2,1/((ISNUMBER(SEARCH('Category Rules'!$B$6:$B$125,$C18)))*('Category Rules'!$B$6:$B$125&lt;&gt;"")),'Category Rules'!$C$6:$C$125),"Uncategorized"))</f>
        <v/>
      </c>
      <c r="F18" s="108" t="n"/>
      <c r="G18" s="106">
        <f>IF($C18="","",IF($F18&lt;&gt;"",$F18,$E18))</f>
        <v/>
      </c>
      <c r="H18" s="82">
        <f>IF($B18="","",TEXT($B18,"mmm yyyy"))</f>
        <v/>
      </c>
    </row>
    <row r="19" ht="18" customHeight="1">
      <c r="A19" s="14" t="n"/>
      <c r="B19" s="98" t="inlineStr">
        <is>
          <t>2026-01-04</t>
        </is>
      </c>
      <c r="C19" s="99" t="inlineStr">
        <is>
          <t>PIC'N SAVE #248</t>
        </is>
      </c>
      <c r="D19" s="100" t="n">
        <v>2.51</v>
      </c>
      <c r="E19" s="101">
        <f>IF($C19="","",IFERROR(LOOKUP(2,1/((ISNUMBER(SEARCH('Category Rules'!$B$6:$B$125,$C19)))*('Category Rules'!$B$6:$B$125&lt;&gt;"")),'Category Rules'!$C$6:$C$125),"Uncategorized"))</f>
        <v/>
      </c>
      <c r="F19" s="108" t="n"/>
      <c r="G19" s="103">
        <f>IF($C19="","",IF($F19&lt;&gt;"",$F19,$E19))</f>
        <v/>
      </c>
      <c r="H19" s="85">
        <f>IF($B19="","",TEXT($B19,"mmm yyyy"))</f>
        <v/>
      </c>
    </row>
    <row r="20" ht="18" customHeight="1">
      <c r="A20" s="10" t="n"/>
      <c r="B20" s="98" t="inlineStr">
        <is>
          <t>2026-01-05</t>
        </is>
      </c>
      <c r="C20" s="99" t="inlineStr">
        <is>
          <t>LOWE'S #2659</t>
        </is>
      </c>
      <c r="D20" s="100" t="n">
        <v>13.95</v>
      </c>
      <c r="E20" s="104">
        <f>IF($C20="","",IFERROR(LOOKUP(2,1/((ISNUMBER(SEARCH('Category Rules'!$B$6:$B$125,$C20)))*('Category Rules'!$B$6:$B$125&lt;&gt;"")),'Category Rules'!$C$6:$C$125),"Uncategorized"))</f>
        <v/>
      </c>
      <c r="F20" s="108" t="n"/>
      <c r="G20" s="106">
        <f>IF($C20="","",IF($F20&lt;&gt;"",$F20,$E20))</f>
        <v/>
      </c>
      <c r="H20" s="82">
        <f>IF($B20="","",TEXT($B20,"mmm yyyy"))</f>
        <v/>
      </c>
    </row>
    <row r="21" ht="18" customHeight="1">
      <c r="A21" s="14" t="n"/>
      <c r="B21" s="98" t="inlineStr">
        <is>
          <t>2026-01-05</t>
        </is>
      </c>
      <c r="C21" s="99" t="inlineStr">
        <is>
          <t>WAL-MART #0300</t>
        </is>
      </c>
      <c r="D21" s="100" t="n">
        <v>46.44</v>
      </c>
      <c r="E21" s="101">
        <f>IF($C21="","",IFERROR(LOOKUP(2,1/((ISNUMBER(SEARCH('Category Rules'!$B$6:$B$125,$C21)))*('Category Rules'!$B$6:$B$125&lt;&gt;"")),'Category Rules'!$C$6:$C$125),"Uncategorized"))</f>
        <v/>
      </c>
      <c r="F21" s="108" t="n"/>
      <c r="G21" s="103">
        <f>IF($C21="","",IF($F21&lt;&gt;"",$F21,$E21))</f>
        <v/>
      </c>
      <c r="H21" s="85">
        <f>IF($B21="","",TEXT($B21,"mmm yyyy"))</f>
        <v/>
      </c>
    </row>
    <row r="22" ht="18" customHeight="1">
      <c r="A22" s="10" t="n"/>
      <c r="B22" s="98" t="inlineStr">
        <is>
          <t>2026-01-05</t>
        </is>
      </c>
      <c r="C22" s="99" t="inlineStr">
        <is>
          <t>LOWE'S #698</t>
        </is>
      </c>
      <c r="D22" s="100" t="n">
        <v>82.48</v>
      </c>
      <c r="E22" s="104">
        <f>IF($C22="","",IFERROR(LOOKUP(2,1/((ISNUMBER(SEARCH('Category Rules'!$B$6:$B$125,$C22)))*('Category Rules'!$B$6:$B$125&lt;&gt;"")),'Category Rules'!$C$6:$C$125),"Uncategorized"))</f>
        <v/>
      </c>
      <c r="F22" s="108" t="n"/>
      <c r="G22" s="106">
        <f>IF($C22="","",IF($F22&lt;&gt;"",$F22,$E22))</f>
        <v/>
      </c>
      <c r="H22" s="82">
        <f>IF($B22="","",TEXT($B22,"mmm yyyy"))</f>
        <v/>
      </c>
    </row>
    <row r="23" ht="18" customHeight="1">
      <c r="A23" s="14" t="n"/>
      <c r="B23" s="98" t="inlineStr">
        <is>
          <t>2026-01-05</t>
        </is>
      </c>
      <c r="C23" s="99" t="inlineStr">
        <is>
          <t>SITE356853- CHE</t>
        </is>
      </c>
      <c r="D23" s="100" t="n">
        <v>3.88</v>
      </c>
      <c r="E23" s="101">
        <f>IF($C23="","",IFERROR(LOOKUP(2,1/((ISNUMBER(SEARCH('Category Rules'!$B$6:$B$125,$C23)))*('Category Rules'!$B$6:$B$125&lt;&gt;"")),'Category Rules'!$C$6:$C$125),"Uncategorized"))</f>
        <v/>
      </c>
      <c r="F23" s="108" t="n"/>
      <c r="G23" s="103">
        <f>IF($C23="","",IF($F23&lt;&gt;"",$F23,$E23))</f>
        <v/>
      </c>
      <c r="H23" s="85">
        <f>IF($B23="","",TEXT($B23,"mmm yyyy"))</f>
        <v/>
      </c>
    </row>
    <row r="24" ht="18" customHeight="1">
      <c r="A24" s="10" t="n"/>
      <c r="B24" s="98" t="inlineStr">
        <is>
          <t>2026-01-05</t>
        </is>
      </c>
      <c r="C24" s="99" t="inlineStr">
        <is>
          <t>JACK'S #200</t>
        </is>
      </c>
      <c r="D24" s="100" t="n">
        <v>10</v>
      </c>
      <c r="E24" s="104">
        <f>IF($C24="","",IFERROR(LOOKUP(2,1/((ISNUMBER(SEARCH('Category Rules'!$B$6:$B$125,$C24)))*('Category Rules'!$B$6:$B$125&lt;&gt;"")),'Category Rules'!$C$6:$C$125),"Uncategorized"))</f>
        <v/>
      </c>
      <c r="F24" s="108" t="n"/>
      <c r="G24" s="106">
        <f>IF($C24="","",IF($F24&lt;&gt;"",$F24,$E24))</f>
        <v/>
      </c>
      <c r="H24" s="82">
        <f>IF($B24="","",TEXT($B24,"mmm yyyy"))</f>
        <v/>
      </c>
    </row>
    <row r="25" ht="18" customHeight="1">
      <c r="A25" s="14" t="n"/>
      <c r="B25" s="98" t="inlineStr">
        <is>
          <t>2026-01-06</t>
        </is>
      </c>
      <c r="C25" s="99" t="inlineStr">
        <is>
          <t>SITE356853- CHE</t>
        </is>
      </c>
      <c r="D25" s="100" t="n">
        <v>21.9</v>
      </c>
      <c r="E25" s="101">
        <f>IF($C25="","",IFERROR(LOOKUP(2,1/((ISNUMBER(SEARCH('Category Rules'!$B$6:$B$125,$C25)))*('Category Rules'!$B$6:$B$125&lt;&gt;"")),'Category Rules'!$C$6:$C$125),"Uncategorized"))</f>
        <v/>
      </c>
      <c r="F25" s="108" t="n"/>
      <c r="G25" s="103">
        <f>IF($C25="","",IF($F25&lt;&gt;"",$F25,$E25))</f>
        <v/>
      </c>
      <c r="H25" s="85">
        <f>IF($B25="","",TEXT($B25,"mmm yyyy"))</f>
        <v/>
      </c>
    </row>
    <row r="26" ht="18" customHeight="1">
      <c r="A26" s="10" t="n"/>
      <c r="B26" s="98" t="inlineStr">
        <is>
          <t>2026-01-06</t>
        </is>
      </c>
      <c r="C26" s="99" t="inlineStr">
        <is>
          <t>JACK'S #156 HEFLIN</t>
        </is>
      </c>
      <c r="D26" s="100" t="n">
        <v>9.029999999999999</v>
      </c>
      <c r="E26" s="104">
        <f>IF($C26="","",IFERROR(LOOKUP(2,1/((ISNUMBER(SEARCH('Category Rules'!$B$6:$B$125,$C26)))*('Category Rules'!$B$6:$B$125&lt;&gt;"")),'Category Rules'!$C$6:$C$125),"Uncategorized"))</f>
        <v/>
      </c>
      <c r="F26" s="108" t="n"/>
      <c r="G26" s="106">
        <f>IF($C26="","",IF($F26&lt;&gt;"",$F26,$E26))</f>
        <v/>
      </c>
      <c r="H26" s="82">
        <f>IF($B26="","",TEXT($B26,"mmm yyyy"))</f>
        <v/>
      </c>
    </row>
    <row r="27" ht="18" customHeight="1">
      <c r="A27" s="14" t="n"/>
      <c r="B27" s="98" t="inlineStr">
        <is>
          <t>2026-01-06</t>
        </is>
      </c>
      <c r="C27" s="99" t="inlineStr">
        <is>
          <t>JACK'S #245</t>
        </is>
      </c>
      <c r="D27" s="100" t="n">
        <v>7.14</v>
      </c>
      <c r="E27" s="101">
        <f>IF($C27="","",IFERROR(LOOKUP(2,1/((ISNUMBER(SEARCH('Category Rules'!$B$6:$B$125,$C27)))*('Category Rules'!$B$6:$B$125&lt;&gt;"")),'Category Rules'!$C$6:$C$125),"Uncategorized"))</f>
        <v/>
      </c>
      <c r="F27" s="108" t="n"/>
      <c r="G27" s="103">
        <f>IF($C27="","",IF($F27&lt;&gt;"",$F27,$E27))</f>
        <v/>
      </c>
      <c r="H27" s="85">
        <f>IF($B27="","",TEXT($B27,"mmm yyyy"))</f>
        <v/>
      </c>
    </row>
    <row r="28" ht="18" customHeight="1">
      <c r="A28" s="10" t="n"/>
      <c r="B28" s="98" t="inlineStr">
        <is>
          <t>2026-01-06</t>
        </is>
      </c>
      <c r="C28" s="99" t="inlineStr">
        <is>
          <t>Bojangles 0914</t>
        </is>
      </c>
      <c r="D28" s="100" t="n">
        <v>8.130000000000001</v>
      </c>
      <c r="E28" s="104">
        <f>IF($C28="","",IFERROR(LOOKUP(2,1/((ISNUMBER(SEARCH('Category Rules'!$B$6:$B$125,$C28)))*('Category Rules'!$B$6:$B$125&lt;&gt;"")),'Category Rules'!$C$6:$C$125),"Uncategorized"))</f>
        <v/>
      </c>
      <c r="F28" s="108" t="n"/>
      <c r="G28" s="106">
        <f>IF($C28="","",IF($F28&lt;&gt;"",$F28,$E28))</f>
        <v/>
      </c>
      <c r="H28" s="82">
        <f>IF($B28="","",TEXT($B28,"mmm yyyy"))</f>
        <v/>
      </c>
    </row>
    <row r="29" ht="18" customHeight="1">
      <c r="A29" s="14" t="n"/>
      <c r="B29" s="98" t="inlineStr">
        <is>
          <t>2026-01-06</t>
        </is>
      </c>
      <c r="C29" s="99" t="inlineStr">
        <is>
          <t>LITTLE CAESARS 3412005</t>
        </is>
      </c>
      <c r="D29" s="100" t="n">
        <v>7.14</v>
      </c>
      <c r="E29" s="101">
        <f>IF($C29="","",IFERROR(LOOKUP(2,1/((ISNUMBER(SEARCH('Category Rules'!$B$6:$B$125,$C29)))*('Category Rules'!$B$6:$B$125&lt;&gt;"")),'Category Rules'!$C$6:$C$125),"Uncategorized"))</f>
        <v/>
      </c>
      <c r="F29" s="108" t="n"/>
      <c r="G29" s="103">
        <f>IF($C29="","",IF($F29&lt;&gt;"",$F29,$E29))</f>
        <v/>
      </c>
      <c r="H29" s="85">
        <f>IF($B29="","",TEXT($B29,"mmm yyyy"))</f>
        <v/>
      </c>
    </row>
    <row r="30" ht="18" customHeight="1">
      <c r="A30" s="10" t="n"/>
      <c r="B30" s="98" t="inlineStr">
        <is>
          <t>2026-01-06</t>
        </is>
      </c>
      <c r="C30" s="99" t="inlineStr">
        <is>
          <t>AMEX EPAYMENT</t>
        </is>
      </c>
      <c r="D30" s="100" t="n">
        <v>40.68</v>
      </c>
      <c r="E30" s="104">
        <f>IF($C30="","",IFERROR(LOOKUP(2,1/((ISNUMBER(SEARCH('Category Rules'!$B$6:$B$125,$C30)))*('Category Rules'!$B$6:$B$125&lt;&gt;"")),'Category Rules'!$C$6:$C$125),"Uncategorized"))</f>
        <v/>
      </c>
      <c r="F30" s="108" t="n"/>
      <c r="G30" s="106">
        <f>IF($C30="","",IF($F30&lt;&gt;"",$F30,$E30))</f>
        <v/>
      </c>
      <c r="H30" s="82">
        <f>IF($B30="","",TEXT($B30,"mmm yyyy"))</f>
        <v/>
      </c>
    </row>
    <row r="31" ht="18" customHeight="1">
      <c r="A31" s="14" t="n"/>
      <c r="B31" s="98" t="inlineStr">
        <is>
          <t>2026-01-07</t>
        </is>
      </c>
      <c r="C31" s="99" t="inlineStr">
        <is>
          <t>MAPCO 5108 706 PELHAM R</t>
        </is>
      </c>
      <c r="D31" s="100" t="n">
        <v>51.97</v>
      </c>
      <c r="E31" s="101">
        <f>IF($C31="","",IFERROR(LOOKUP(2,1/((ISNUMBER(SEARCH('Category Rules'!$B$6:$B$125,$C31)))*('Category Rules'!$B$6:$B$125&lt;&gt;"")),'Category Rules'!$C$6:$C$125),"Uncategorized"))</f>
        <v/>
      </c>
      <c r="F31" s="108" t="n"/>
      <c r="G31" s="103">
        <f>IF($C31="","",IF($F31&lt;&gt;"",$F31,$E31))</f>
        <v/>
      </c>
      <c r="H31" s="85">
        <f>IF($B31="","",TEXT($B31,"mmm yyyy"))</f>
        <v/>
      </c>
    </row>
    <row r="32" ht="18" customHeight="1">
      <c r="A32" s="10" t="n"/>
      <c r="B32" s="98" t="inlineStr">
        <is>
          <t>2026-01-07</t>
        </is>
      </c>
      <c r="C32" s="99" t="inlineStr">
        <is>
          <t>LOWE'S #2659</t>
        </is>
      </c>
      <c r="D32" s="100" t="n">
        <v>11.53</v>
      </c>
      <c r="E32" s="104">
        <f>IF($C32="","",IFERROR(LOOKUP(2,1/((ISNUMBER(SEARCH('Category Rules'!$B$6:$B$125,$C32)))*('Category Rules'!$B$6:$B$125&lt;&gt;"")),'Category Rules'!$C$6:$C$125),"Uncategorized"))</f>
        <v/>
      </c>
      <c r="F32" s="108" t="n"/>
      <c r="G32" s="106">
        <f>IF($C32="","",IF($F32&lt;&gt;"",$F32,$E32))</f>
        <v/>
      </c>
      <c r="H32" s="82">
        <f>IF($B32="","",TEXT($B32,"mmm yyyy"))</f>
        <v/>
      </c>
    </row>
    <row r="33" ht="18" customHeight="1">
      <c r="A33" s="14" t="n"/>
      <c r="B33" s="98" t="inlineStr">
        <is>
          <t>2026-01-07</t>
        </is>
      </c>
      <c r="C33" s="99" t="inlineStr">
        <is>
          <t>AOC FOOD MART 17</t>
        </is>
      </c>
      <c r="D33" s="100" t="n">
        <v>3.88</v>
      </c>
      <c r="E33" s="101">
        <f>IF($C33="","",IFERROR(LOOKUP(2,1/((ISNUMBER(SEARCH('Category Rules'!$B$6:$B$125,$C33)))*('Category Rules'!$B$6:$B$125&lt;&gt;"")),'Category Rules'!$C$6:$C$125),"Uncategorized"))</f>
        <v/>
      </c>
      <c r="F33" s="108" t="n"/>
      <c r="G33" s="103">
        <f>IF($C33="","",IF($F33&lt;&gt;"",$F33,$E33))</f>
        <v/>
      </c>
      <c r="H33" s="85">
        <f>IF($B33="","",TEXT($B33,"mmm yyyy"))</f>
        <v/>
      </c>
    </row>
    <row r="34" ht="18" customHeight="1">
      <c r="A34" s="10" t="n"/>
      <c r="B34" s="98" t="inlineStr">
        <is>
          <t>2026-01-07</t>
        </is>
      </c>
      <c r="C34" s="99" t="inlineStr">
        <is>
          <t>SITE356853- CHE</t>
        </is>
      </c>
      <c r="D34" s="100" t="n">
        <v>20.56</v>
      </c>
      <c r="E34" s="104">
        <f>IF($C34="","",IFERROR(LOOKUP(2,1/((ISNUMBER(SEARCH('Category Rules'!$B$6:$B$125,$C34)))*('Category Rules'!$B$6:$B$125&lt;&gt;"")),'Category Rules'!$C$6:$C$125),"Uncategorized"))</f>
        <v/>
      </c>
      <c r="F34" s="108" t="n"/>
      <c r="G34" s="106">
        <f>IF($C34="","",IF($F34&lt;&gt;"",$F34,$E34))</f>
        <v/>
      </c>
      <c r="H34" s="82">
        <f>IF($B34="","",TEXT($B34,"mmm yyyy"))</f>
        <v/>
      </c>
    </row>
    <row r="35" ht="18" customHeight="1">
      <c r="A35" s="14" t="n"/>
      <c r="B35" s="98" t="inlineStr">
        <is>
          <t>2026-01-07</t>
        </is>
      </c>
      <c r="C35" s="99" t="inlineStr">
        <is>
          <t>LOWE'S #2659</t>
        </is>
      </c>
      <c r="D35" s="100" t="n">
        <v>16.49</v>
      </c>
      <c r="E35" s="101">
        <f>IF($C35="","",IFERROR(LOOKUP(2,1/((ISNUMBER(SEARCH('Category Rules'!$B$6:$B$125,$C35)))*('Category Rules'!$B$6:$B$125&lt;&gt;"")),'Category Rules'!$C$6:$C$125),"Uncategorized"))</f>
        <v/>
      </c>
      <c r="F35" s="108" t="n"/>
      <c r="G35" s="103">
        <f>IF($C35="","",IF($F35&lt;&gt;"",$F35,$E35))</f>
        <v/>
      </c>
      <c r="H35" s="85">
        <f>IF($B35="","",TEXT($B35,"mmm yyyy"))</f>
        <v/>
      </c>
    </row>
    <row r="36" ht="18" customHeight="1">
      <c r="A36" s="10" t="n"/>
      <c r="B36" s="98" t="inlineStr">
        <is>
          <t>2026-01-07</t>
        </is>
      </c>
      <c r="C36" s="99" t="inlineStr">
        <is>
          <t>LOWE'S #2659</t>
        </is>
      </c>
      <c r="D36" s="100" t="n">
        <v>42.54</v>
      </c>
      <c r="E36" s="104">
        <f>IF($C36="","",IFERROR(LOOKUP(2,1/((ISNUMBER(SEARCH('Category Rules'!$B$6:$B$125,$C36)))*('Category Rules'!$B$6:$B$125&lt;&gt;"")),'Category Rules'!$C$6:$C$125),"Uncategorized"))</f>
        <v/>
      </c>
      <c r="F36" s="108" t="n"/>
      <c r="G36" s="106">
        <f>IF($C36="","",IF($F36&lt;&gt;"",$F36,$E36))</f>
        <v/>
      </c>
      <c r="H36" s="82">
        <f>IF($B36="","",TEXT($B36,"mmm yyyy"))</f>
        <v/>
      </c>
    </row>
    <row r="37" ht="18" customHeight="1">
      <c r="A37" s="14" t="n"/>
      <c r="B37" s="98" t="inlineStr">
        <is>
          <t>2026-01-07</t>
        </is>
      </c>
      <c r="C37" s="99" t="inlineStr">
        <is>
          <t>MCDONALD'S F6920</t>
        </is>
      </c>
      <c r="D37" s="100" t="n">
        <v>10.54</v>
      </c>
      <c r="E37" s="101">
        <f>IF($C37="","",IFERROR(LOOKUP(2,1/((ISNUMBER(SEARCH('Category Rules'!$B$6:$B$125,$C37)))*('Category Rules'!$B$6:$B$125&lt;&gt;"")),'Category Rules'!$C$6:$C$125),"Uncategorized"))</f>
        <v/>
      </c>
      <c r="F37" s="108" t="n"/>
      <c r="G37" s="103">
        <f>IF($C37="","",IF($F37&lt;&gt;"",$F37,$E37))</f>
        <v/>
      </c>
      <c r="H37" s="85">
        <f>IF($B37="","",TEXT($B37,"mmm yyyy"))</f>
        <v/>
      </c>
    </row>
    <row r="38" ht="18" customHeight="1">
      <c r="A38" s="10" t="n"/>
      <c r="B38" s="98" t="inlineStr">
        <is>
          <t>2026-01-07</t>
        </is>
      </c>
      <c r="C38" s="99" t="inlineStr">
        <is>
          <t>VENMO *Melissa O'Brie</t>
        </is>
      </c>
      <c r="D38" s="100" t="n">
        <v>80</v>
      </c>
      <c r="E38" s="104">
        <f>IF($C38="","",IFERROR(LOOKUP(2,1/((ISNUMBER(SEARCH('Category Rules'!$B$6:$B$125,$C38)))*('Category Rules'!$B$6:$B$125&lt;&gt;"")),'Category Rules'!$C$6:$C$125),"Uncategorized"))</f>
        <v/>
      </c>
      <c r="F38" s="108" t="n"/>
      <c r="G38" s="106">
        <f>IF($C38="","",IF($F38&lt;&gt;"",$F38,$E38))</f>
        <v/>
      </c>
      <c r="H38" s="82">
        <f>IF($B38="","",TEXT($B38,"mmm yyyy"))</f>
        <v/>
      </c>
    </row>
    <row r="39" ht="18" customHeight="1">
      <c r="A39" s="14" t="n"/>
      <c r="B39" s="98" t="inlineStr">
        <is>
          <t>2026-01-08</t>
        </is>
      </c>
      <c r="C39" s="99" t="inlineStr">
        <is>
          <t>SITE356853- CHE</t>
        </is>
      </c>
      <c r="D39" s="100" t="n">
        <v>31.89</v>
      </c>
      <c r="E39" s="101">
        <f>IF($C39="","",IFERROR(LOOKUP(2,1/((ISNUMBER(SEARCH('Category Rules'!$B$6:$B$125,$C39)))*('Category Rules'!$B$6:$B$125&lt;&gt;"")),'Category Rules'!$C$6:$C$125),"Uncategorized"))</f>
        <v/>
      </c>
      <c r="F39" s="108" t="n"/>
      <c r="G39" s="103">
        <f>IF($C39="","",IF($F39&lt;&gt;"",$F39,$E39))</f>
        <v/>
      </c>
      <c r="H39" s="85">
        <f>IF($B39="","",TEXT($B39,"mmm yyyy"))</f>
        <v/>
      </c>
    </row>
    <row r="40" ht="18" customHeight="1">
      <c r="A40" s="10" t="n"/>
      <c r="B40" s="98" t="inlineStr">
        <is>
          <t>2026-01-08</t>
        </is>
      </c>
      <c r="C40" s="99" t="inlineStr">
        <is>
          <t>ZAXBY'S #34001</t>
        </is>
      </c>
      <c r="D40" s="100" t="n">
        <v>12.67</v>
      </c>
      <c r="E40" s="104">
        <f>IF($C40="","",IFERROR(LOOKUP(2,1/((ISNUMBER(SEARCH('Category Rules'!$B$6:$B$125,$C40)))*('Category Rules'!$B$6:$B$125&lt;&gt;"")),'Category Rules'!$C$6:$C$125),"Uncategorized"))</f>
        <v/>
      </c>
      <c r="F40" s="108" t="n"/>
      <c r="G40" s="106">
        <f>IF($C40="","",IF($F40&lt;&gt;"",$F40,$E40))</f>
        <v/>
      </c>
      <c r="H40" s="82">
        <f>IF($B40="","",TEXT($B40,"mmm yyyy"))</f>
        <v/>
      </c>
    </row>
    <row r="41" ht="18" customHeight="1">
      <c r="A41" s="14" t="n"/>
      <c r="B41" s="98" t="inlineStr">
        <is>
          <t>2026-01-09</t>
        </is>
      </c>
      <c r="C41" s="99" t="inlineStr">
        <is>
          <t>MARATHON 235473</t>
        </is>
      </c>
      <c r="D41" s="100" t="n">
        <v>36.84</v>
      </c>
      <c r="E41" s="101">
        <f>IF($C41="","",IFERROR(LOOKUP(2,1/((ISNUMBER(SEARCH('Category Rules'!$B$6:$B$125,$C41)))*('Category Rules'!$B$6:$B$125&lt;&gt;"")),'Category Rules'!$C$6:$C$125),"Uncategorized"))</f>
        <v/>
      </c>
      <c r="F41" s="108" t="n"/>
      <c r="G41" s="103">
        <f>IF($C41="","",IF($F41&lt;&gt;"",$F41,$E41))</f>
        <v/>
      </c>
      <c r="H41" s="85">
        <f>IF($B41="","",TEXT($B41,"mmm yyyy"))</f>
        <v/>
      </c>
    </row>
    <row r="42" ht="18" customHeight="1">
      <c r="A42" s="10" t="n"/>
      <c r="B42" s="98" t="inlineStr">
        <is>
          <t>2026-01-09</t>
        </is>
      </c>
      <c r="C42" s="99" t="inlineStr">
        <is>
          <t>LOWE'S #2659</t>
        </is>
      </c>
      <c r="D42" s="100" t="n">
        <v>116.54</v>
      </c>
      <c r="E42" s="104">
        <f>IF($C42="","",IFERROR(LOOKUP(2,1/((ISNUMBER(SEARCH('Category Rules'!$B$6:$B$125,$C42)))*('Category Rules'!$B$6:$B$125&lt;&gt;"")),'Category Rules'!$C$6:$C$125),"Uncategorized"))</f>
        <v/>
      </c>
      <c r="F42" s="108" t="n"/>
      <c r="G42" s="106">
        <f>IF($C42="","",IF($F42&lt;&gt;"",$F42,$E42))</f>
        <v/>
      </c>
      <c r="H42" s="82">
        <f>IF($B42="","",TEXT($B42,"mmm yyyy"))</f>
        <v/>
      </c>
    </row>
    <row r="43" ht="18" customHeight="1">
      <c r="A43" s="14" t="n"/>
      <c r="B43" s="98" t="inlineStr">
        <is>
          <t>2026-01-09</t>
        </is>
      </c>
      <c r="C43" s="99" t="inlineStr">
        <is>
          <t>SITE356853- CHE</t>
        </is>
      </c>
      <c r="D43" s="100" t="n">
        <v>3.88</v>
      </c>
      <c r="E43" s="101">
        <f>IF($C43="","",IFERROR(LOOKUP(2,1/((ISNUMBER(SEARCH('Category Rules'!$B$6:$B$125,$C43)))*('Category Rules'!$B$6:$B$125&lt;&gt;"")),'Category Rules'!$C$6:$C$125),"Uncategorized"))</f>
        <v/>
      </c>
      <c r="F43" s="108" t="n"/>
      <c r="G43" s="103">
        <f>IF($C43="","",IF($F43&lt;&gt;"",$F43,$E43))</f>
        <v/>
      </c>
      <c r="H43" s="85">
        <f>IF($B43="","",TEXT($B43,"mmm yyyy"))</f>
        <v/>
      </c>
    </row>
    <row r="44" ht="18" customHeight="1">
      <c r="A44" s="10" t="n"/>
      <c r="B44" s="98" t="inlineStr">
        <is>
          <t>2026-01-09</t>
        </is>
      </c>
      <c r="C44" s="99" t="inlineStr">
        <is>
          <t>TACO BELL #7029160</t>
        </is>
      </c>
      <c r="D44" s="100" t="n">
        <v>7.92</v>
      </c>
      <c r="E44" s="104">
        <f>IF($C44="","",IFERROR(LOOKUP(2,1/((ISNUMBER(SEARCH('Category Rules'!$B$6:$B$125,$C44)))*('Category Rules'!$B$6:$B$125&lt;&gt;"")),'Category Rules'!$C$6:$C$125),"Uncategorized"))</f>
        <v/>
      </c>
      <c r="F44" s="108" t="n"/>
      <c r="G44" s="106">
        <f>IF($C44="","",IF($F44&lt;&gt;"",$F44,$E44))</f>
        <v/>
      </c>
      <c r="H44" s="82">
        <f>IF($B44="","",TEXT($B44,"mmm yyyy"))</f>
        <v/>
      </c>
    </row>
    <row r="45" ht="18" customHeight="1">
      <c r="A45" s="14" t="n"/>
      <c r="B45" s="98" t="inlineStr">
        <is>
          <t>2026-01-09</t>
        </is>
      </c>
      <c r="C45" s="99" t="inlineStr">
        <is>
          <t>MCDONALD'S F6920</t>
        </is>
      </c>
      <c r="D45" s="100" t="n">
        <v>9.109999999999999</v>
      </c>
      <c r="E45" s="101">
        <f>IF($C45="","",IFERROR(LOOKUP(2,1/((ISNUMBER(SEARCH('Category Rules'!$B$6:$B$125,$C45)))*('Category Rules'!$B$6:$B$125&lt;&gt;"")),'Category Rules'!$C$6:$C$125),"Uncategorized"))</f>
        <v/>
      </c>
      <c r="F45" s="108" t="n"/>
      <c r="G45" s="103">
        <f>IF($C45="","",IF($F45&lt;&gt;"",$F45,$E45))</f>
        <v/>
      </c>
      <c r="H45" s="85">
        <f>IF($B45="","",TEXT($B45,"mmm yyyy"))</f>
        <v/>
      </c>
    </row>
    <row r="46" ht="18" customHeight="1">
      <c r="A46" s="10" t="n"/>
      <c r="B46" s="98" t="inlineStr">
        <is>
          <t>2026-01-09</t>
        </is>
      </c>
      <c r="C46" s="99" t="inlineStr">
        <is>
          <t>ANC*ANCESTRY.COM</t>
        </is>
      </c>
      <c r="D46" s="100" t="n">
        <v>39.99</v>
      </c>
      <c r="E46" s="104">
        <f>IF($C46="","",IFERROR(LOOKUP(2,1/((ISNUMBER(SEARCH('Category Rules'!$B$6:$B$125,$C46)))*('Category Rules'!$B$6:$B$125&lt;&gt;"")),'Category Rules'!$C$6:$C$125),"Uncategorized"))</f>
        <v/>
      </c>
      <c r="F46" s="108" t="n"/>
      <c r="G46" s="106">
        <f>IF($C46="","",IF($F46&lt;&gt;"",$F46,$E46))</f>
        <v/>
      </c>
      <c r="H46" s="82">
        <f>IF($B46="","",TEXT($B46,"mmm yyyy"))</f>
        <v/>
      </c>
    </row>
    <row r="47" ht="18" customHeight="1">
      <c r="A47" s="14" t="n"/>
      <c r="B47" s="98" t="inlineStr">
        <is>
          <t>2026-01-10</t>
        </is>
      </c>
      <c r="C47" s="99" t="inlineStr">
        <is>
          <t>WAL-MART #0681</t>
        </is>
      </c>
      <c r="D47" s="100" t="n">
        <v>26.76</v>
      </c>
      <c r="E47" s="101">
        <f>IF($C47="","",IFERROR(LOOKUP(2,1/((ISNUMBER(SEARCH('Category Rules'!$B$6:$B$125,$C47)))*('Category Rules'!$B$6:$B$125&lt;&gt;"")),'Category Rules'!$C$6:$C$125),"Uncategorized"))</f>
        <v/>
      </c>
      <c r="F47" s="108" t="n"/>
      <c r="G47" s="103">
        <f>IF($C47="","",IF($F47&lt;&gt;"",$F47,$E47))</f>
        <v/>
      </c>
      <c r="H47" s="85">
        <f>IF($B47="","",TEXT($B47,"mmm yyyy"))</f>
        <v/>
      </c>
    </row>
    <row r="48" ht="18" customHeight="1">
      <c r="A48" s="10" t="n"/>
      <c r="B48" s="98" t="inlineStr">
        <is>
          <t>2026-01-10</t>
        </is>
      </c>
      <c r="C48" s="99" t="inlineStr">
        <is>
          <t>Harbor Freight Tools U</t>
        </is>
      </c>
      <c r="D48" s="100" t="n">
        <v>17.58</v>
      </c>
      <c r="E48" s="104">
        <f>IF($C48="","",IFERROR(LOOKUP(2,1/((ISNUMBER(SEARCH('Category Rules'!$B$6:$B$125,$C48)))*('Category Rules'!$B$6:$B$125&lt;&gt;"")),'Category Rules'!$C$6:$C$125),"Uncategorized"))</f>
        <v/>
      </c>
      <c r="F48" s="108" t="n"/>
      <c r="G48" s="106">
        <f>IF($C48="","",IF($F48&lt;&gt;"",$F48,$E48))</f>
        <v/>
      </c>
      <c r="H48" s="82">
        <f>IF($B48="","",TEXT($B48,"mmm yyyy"))</f>
        <v/>
      </c>
    </row>
    <row r="49" ht="18" customHeight="1">
      <c r="A49" s="14" t="n"/>
      <c r="B49" s="98" t="inlineStr">
        <is>
          <t>2026-01-10</t>
        </is>
      </c>
      <c r="C49" s="99" t="inlineStr">
        <is>
          <t>RACEWAY 7008</t>
        </is>
      </c>
      <c r="D49" s="100" t="n">
        <v>5.7</v>
      </c>
      <c r="E49" s="101">
        <f>IF($C49="","",IFERROR(LOOKUP(2,1/((ISNUMBER(SEARCH('Category Rules'!$B$6:$B$125,$C49)))*('Category Rules'!$B$6:$B$125&lt;&gt;"")),'Category Rules'!$C$6:$C$125),"Uncategorized"))</f>
        <v/>
      </c>
      <c r="F49" s="108" t="n"/>
      <c r="G49" s="103">
        <f>IF($C49="","",IF($F49&lt;&gt;"",$F49,$E49))</f>
        <v/>
      </c>
      <c r="H49" s="85">
        <f>IF($B49="","",TEXT($B49,"mmm yyyy"))</f>
        <v/>
      </c>
    </row>
    <row r="50" ht="18" customHeight="1">
      <c r="A50" s="10" t="n"/>
      <c r="B50" s="98" t="inlineStr">
        <is>
          <t>2026-01-10</t>
        </is>
      </c>
      <c r="C50" s="99" t="inlineStr">
        <is>
          <t>SITE356853- CHE</t>
        </is>
      </c>
      <c r="D50" s="100" t="n">
        <v>3.88</v>
      </c>
      <c r="E50" s="104">
        <f>IF($C50="","",IFERROR(LOOKUP(2,1/((ISNUMBER(SEARCH('Category Rules'!$B$6:$B$125,$C50)))*('Category Rules'!$B$6:$B$125&lt;&gt;"")),'Category Rules'!$C$6:$C$125),"Uncategorized"))</f>
        <v/>
      </c>
      <c r="F50" s="108" t="n"/>
      <c r="G50" s="106">
        <f>IF($C50="","",IF($F50&lt;&gt;"",$F50,$E50))</f>
        <v/>
      </c>
      <c r="H50" s="82">
        <f>IF($B50="","",TEXT($B50,"mmm yyyy"))</f>
        <v/>
      </c>
    </row>
    <row r="51" ht="18" customHeight="1">
      <c r="A51" s="14" t="n"/>
      <c r="B51" s="98" t="inlineStr">
        <is>
          <t>2026-01-10</t>
        </is>
      </c>
      <c r="C51" s="99" t="inlineStr">
        <is>
          <t>WHATABURGER 1492</t>
        </is>
      </c>
      <c r="D51" s="100" t="n">
        <v>13.41</v>
      </c>
      <c r="E51" s="101">
        <f>IF($C51="","",IFERROR(LOOKUP(2,1/((ISNUMBER(SEARCH('Category Rules'!$B$6:$B$125,$C51)))*('Category Rules'!$B$6:$B$125&lt;&gt;"")),'Category Rules'!$C$6:$C$125),"Uncategorized"))</f>
        <v/>
      </c>
      <c r="F51" s="108" t="n"/>
      <c r="G51" s="103">
        <f>IF($C51="","",IF($F51&lt;&gt;"",$F51,$E51))</f>
        <v/>
      </c>
      <c r="H51" s="85">
        <f>IF($B51="","",TEXT($B51,"mmm yyyy"))</f>
        <v/>
      </c>
    </row>
    <row r="52" ht="18" customHeight="1">
      <c r="A52" s="10" t="n"/>
      <c r="B52" s="98" t="inlineStr">
        <is>
          <t>2026-01-10</t>
        </is>
      </c>
      <c r="C52" s="99" t="inlineStr">
        <is>
          <t>ZAXBY'S #34001</t>
        </is>
      </c>
      <c r="D52" s="100" t="n">
        <v>12.42</v>
      </c>
      <c r="E52" s="104">
        <f>IF($C52="","",IFERROR(LOOKUP(2,1/((ISNUMBER(SEARCH('Category Rules'!$B$6:$B$125,$C52)))*('Category Rules'!$B$6:$B$125&lt;&gt;"")),'Category Rules'!$C$6:$C$125),"Uncategorized"))</f>
        <v/>
      </c>
      <c r="F52" s="108" t="n"/>
      <c r="G52" s="106">
        <f>IF($C52="","",IF($F52&lt;&gt;"",$F52,$E52))</f>
        <v/>
      </c>
      <c r="H52" s="82">
        <f>IF($B52="","",TEXT($B52,"mmm yyyy"))</f>
        <v/>
      </c>
    </row>
    <row r="53" ht="18" customHeight="1">
      <c r="A53" s="14" t="n"/>
      <c r="B53" s="98" t="inlineStr">
        <is>
          <t>2026-01-11</t>
        </is>
      </c>
      <c r="C53" s="99" t="inlineStr">
        <is>
          <t>MADISON SQUARE C</t>
        </is>
      </c>
      <c r="D53" s="100" t="n">
        <v>5.98</v>
      </c>
      <c r="E53" s="101">
        <f>IF($C53="","",IFERROR(LOOKUP(2,1/((ISNUMBER(SEARCH('Category Rules'!$B$6:$B$125,$C53)))*('Category Rules'!$B$6:$B$125&lt;&gt;"")),'Category Rules'!$C$6:$C$125),"Uncategorized"))</f>
        <v/>
      </c>
      <c r="F53" s="108" t="n"/>
      <c r="G53" s="103">
        <f>IF($C53="","",IF($F53&lt;&gt;"",$F53,$E53))</f>
        <v/>
      </c>
      <c r="H53" s="85">
        <f>IF($B53="","",TEXT($B53,"mmm yyyy"))</f>
        <v/>
      </c>
    </row>
    <row r="54" ht="18" customHeight="1">
      <c r="A54" s="10" t="n"/>
      <c r="B54" s="98" t="inlineStr">
        <is>
          <t>2026-01-11</t>
        </is>
      </c>
      <c r="C54" s="99" t="inlineStr">
        <is>
          <t>CHICK-FIL-A #04457</t>
        </is>
      </c>
      <c r="D54" s="100" t="n">
        <v>22.54</v>
      </c>
      <c r="E54" s="104">
        <f>IF($C54="","",IFERROR(LOOKUP(2,1/((ISNUMBER(SEARCH('Category Rules'!$B$6:$B$125,$C54)))*('Category Rules'!$B$6:$B$125&lt;&gt;"")),'Category Rules'!$C$6:$C$125),"Uncategorized"))</f>
        <v/>
      </c>
      <c r="F54" s="108" t="n"/>
      <c r="G54" s="106">
        <f>IF($C54="","",IF($F54&lt;&gt;"",$F54,$E54))</f>
        <v/>
      </c>
      <c r="H54" s="82">
        <f>IF($B54="","",TEXT($B54,"mmm yyyy"))</f>
        <v/>
      </c>
    </row>
    <row r="55" ht="18" customHeight="1">
      <c r="A55" s="14" t="n"/>
      <c r="B55" s="98" t="inlineStr">
        <is>
          <t>2026-01-12</t>
        </is>
      </c>
      <c r="C55" s="99" t="inlineStr">
        <is>
          <t>DOLLAR GENERAL # DG 304</t>
        </is>
      </c>
      <c r="D55" s="100" t="n">
        <v>9.68</v>
      </c>
      <c r="E55" s="101">
        <f>IF($C55="","",IFERROR(LOOKUP(2,1/((ISNUMBER(SEARCH('Category Rules'!$B$6:$B$125,$C55)))*('Category Rules'!$B$6:$B$125&lt;&gt;"")),'Category Rules'!$C$6:$C$125),"Uncategorized"))</f>
        <v/>
      </c>
      <c r="F55" s="108" t="n"/>
      <c r="G55" s="103">
        <f>IF($C55="","",IF($F55&lt;&gt;"",$F55,$E55))</f>
        <v/>
      </c>
      <c r="H55" s="85">
        <f>IF($B55="","",TEXT($B55,"mmm yyyy"))</f>
        <v/>
      </c>
    </row>
    <row r="56" ht="18" customHeight="1">
      <c r="A56" s="10" t="n"/>
      <c r="B56" s="98" t="inlineStr">
        <is>
          <t>2026-01-12</t>
        </is>
      </c>
      <c r="C56" s="99" t="inlineStr">
        <is>
          <t>ROSIE'S MEXICAN CANTIN</t>
        </is>
      </c>
      <c r="D56" s="100" t="n">
        <v>29.15</v>
      </c>
      <c r="E56" s="104">
        <f>IF($C56="","",IFERROR(LOOKUP(2,1/((ISNUMBER(SEARCH('Category Rules'!$B$6:$B$125,$C56)))*('Category Rules'!$B$6:$B$125&lt;&gt;"")),'Category Rules'!$C$6:$C$125),"Uncategorized"))</f>
        <v/>
      </c>
      <c r="F56" s="108" t="n"/>
      <c r="G56" s="106">
        <f>IF($C56="","",IF($F56&lt;&gt;"",$F56,$E56))</f>
        <v/>
      </c>
      <c r="H56" s="82">
        <f>IF($B56="","",TEXT($B56,"mmm yyyy"))</f>
        <v/>
      </c>
    </row>
    <row r="57" ht="18" customHeight="1">
      <c r="A57" s="14" t="n"/>
      <c r="B57" s="98" t="inlineStr">
        <is>
          <t>2026-01-12</t>
        </is>
      </c>
      <c r="C57" s="99" t="inlineStr">
        <is>
          <t>AMAZON PRIME PMTS</t>
        </is>
      </c>
      <c r="D57" s="100" t="n">
        <v>8.09</v>
      </c>
      <c r="E57" s="101">
        <f>IF($C57="","",IFERROR(LOOKUP(2,1/((ISNUMBER(SEARCH('Category Rules'!$B$6:$B$125,$C57)))*('Category Rules'!$B$6:$B$125&lt;&gt;"")),'Category Rules'!$C$6:$C$125),"Uncategorized"))</f>
        <v/>
      </c>
      <c r="F57" s="108" t="n"/>
      <c r="G57" s="103">
        <f>IF($C57="","",IF($F57&lt;&gt;"",$F57,$E57))</f>
        <v/>
      </c>
      <c r="H57" s="85">
        <f>IF($B57="","",TEXT($B57,"mmm yyyy"))</f>
        <v/>
      </c>
    </row>
    <row r="58" ht="18" customHeight="1">
      <c r="A58" s="10" t="n"/>
      <c r="B58" s="98" t="inlineStr">
        <is>
          <t>2026-01-12</t>
        </is>
      </c>
      <c r="C58" s="99" t="inlineStr">
        <is>
          <t>JACK'S #245</t>
        </is>
      </c>
      <c r="D58" s="100" t="n">
        <v>12.84</v>
      </c>
      <c r="E58" s="104">
        <f>IF($C58="","",IFERROR(LOOKUP(2,1/((ISNUMBER(SEARCH('Category Rules'!$B$6:$B$125,$C58)))*('Category Rules'!$B$6:$B$125&lt;&gt;"")),'Category Rules'!$C$6:$C$125),"Uncategorized"))</f>
        <v/>
      </c>
      <c r="F58" s="108" t="n"/>
      <c r="G58" s="106">
        <f>IF($C58="","",IF($F58&lt;&gt;"",$F58,$E58))</f>
        <v/>
      </c>
      <c r="H58" s="82">
        <f>IF($B58="","",TEXT($B58,"mmm yyyy"))</f>
        <v/>
      </c>
    </row>
    <row r="59" ht="18" customHeight="1">
      <c r="A59" s="14" t="n"/>
      <c r="B59" s="98" t="inlineStr">
        <is>
          <t>2026-01-13</t>
        </is>
      </c>
      <c r="C59" s="99" t="inlineStr">
        <is>
          <t>SITE356853- CHE</t>
        </is>
      </c>
      <c r="D59" s="100" t="n">
        <v>17.59</v>
      </c>
      <c r="E59" s="101">
        <f>IF($C59="","",IFERROR(LOOKUP(2,1/((ISNUMBER(SEARCH('Category Rules'!$B$6:$B$125,$C59)))*('Category Rules'!$B$6:$B$125&lt;&gt;"")),'Category Rules'!$C$6:$C$125),"Uncategorized"))</f>
        <v/>
      </c>
      <c r="F59" s="108" t="n"/>
      <c r="G59" s="103">
        <f>IF($C59="","",IF($F59&lt;&gt;"",$F59,$E59))</f>
        <v/>
      </c>
      <c r="H59" s="85">
        <f>IF($B59="","",TEXT($B59,"mmm yyyy"))</f>
        <v/>
      </c>
    </row>
    <row r="60" ht="18" customHeight="1">
      <c r="A60" s="10" t="n"/>
      <c r="B60" s="98" t="inlineStr">
        <is>
          <t>2026-01-13</t>
        </is>
      </c>
      <c r="C60" s="99" t="inlineStr">
        <is>
          <t>MELLOW MUSHROOM #97</t>
        </is>
      </c>
      <c r="D60" s="100" t="n">
        <v>43.23</v>
      </c>
      <c r="E60" s="104">
        <f>IF($C60="","",IFERROR(LOOKUP(2,1/((ISNUMBER(SEARCH('Category Rules'!$B$6:$B$125,$C60)))*('Category Rules'!$B$6:$B$125&lt;&gt;"")),'Category Rules'!$C$6:$C$125),"Uncategorized"))</f>
        <v/>
      </c>
      <c r="F60" s="108" t="n"/>
      <c r="G60" s="106">
        <f>IF($C60="","",IF($F60&lt;&gt;"",$F60,$E60))</f>
        <v/>
      </c>
      <c r="H60" s="82">
        <f>IF($B60="","",TEXT($B60,"mmm yyyy"))</f>
        <v/>
      </c>
    </row>
    <row r="61" ht="18" customHeight="1">
      <c r="A61" s="14" t="n"/>
      <c r="B61" s="98" t="inlineStr">
        <is>
          <t>2026-01-13</t>
        </is>
      </c>
      <c r="C61" s="99" t="inlineStr">
        <is>
          <t>CIRCLE K # 23677</t>
        </is>
      </c>
      <c r="D61" s="100" t="n">
        <v>6.85</v>
      </c>
      <c r="E61" s="101">
        <f>IF($C61="","",IFERROR(LOOKUP(2,1/((ISNUMBER(SEARCH('Category Rules'!$B$6:$B$125,$C61)))*('Category Rules'!$B$6:$B$125&lt;&gt;"")),'Category Rules'!$C$6:$C$125),"Uncategorized"))</f>
        <v/>
      </c>
      <c r="F61" s="108" t="n"/>
      <c r="G61" s="103">
        <f>IF($C61="","",IF($F61&lt;&gt;"",$F61,$E61))</f>
        <v/>
      </c>
      <c r="H61" s="85">
        <f>IF($B61="","",TEXT($B61,"mmm yyyy"))</f>
        <v/>
      </c>
    </row>
    <row r="62" ht="18" customHeight="1">
      <c r="A62" s="10" t="n"/>
      <c r="B62" s="98" t="inlineStr">
        <is>
          <t>2026-01-13</t>
        </is>
      </c>
      <c r="C62" s="99" t="inlineStr">
        <is>
          <t>CALHOUN COUNTY COMMISS</t>
        </is>
      </c>
      <c r="D62" s="100" t="n">
        <v>97.23</v>
      </c>
      <c r="E62" s="104">
        <f>IF($C62="","",IFERROR(LOOKUP(2,1/((ISNUMBER(SEARCH('Category Rules'!$B$6:$B$125,$C62)))*('Category Rules'!$B$6:$B$125&lt;&gt;"")),'Category Rules'!$C$6:$C$125),"Uncategorized"))</f>
        <v/>
      </c>
      <c r="F62" s="108" t="n"/>
      <c r="G62" s="106">
        <f>IF($C62="","",IF($F62&lt;&gt;"",$F62,$E62))</f>
        <v/>
      </c>
      <c r="H62" s="82">
        <f>IF($B62="","",TEXT($B62,"mmm yyyy"))</f>
        <v/>
      </c>
    </row>
    <row r="63" ht="18" customHeight="1">
      <c r="A63" s="14" t="n"/>
      <c r="B63" s="98" t="inlineStr">
        <is>
          <t>2026-01-13</t>
        </is>
      </c>
      <c r="C63" s="99" t="inlineStr">
        <is>
          <t>MUNICIPALPAY*SERVICES</t>
        </is>
      </c>
      <c r="D63" s="100" t="n">
        <v>3.5</v>
      </c>
      <c r="E63" s="101">
        <f>IF($C63="","",IFERROR(LOOKUP(2,1/((ISNUMBER(SEARCH('Category Rules'!$B$6:$B$125,$C63)))*('Category Rules'!$B$6:$B$125&lt;&gt;"")),'Category Rules'!$C$6:$C$125),"Uncategorized"))</f>
        <v/>
      </c>
      <c r="F63" s="108" t="n"/>
      <c r="G63" s="103">
        <f>IF($C63="","",IF($F63&lt;&gt;"",$F63,$E63))</f>
        <v/>
      </c>
      <c r="H63" s="85">
        <f>IF($B63="","",TEXT($B63,"mmm yyyy"))</f>
        <v/>
      </c>
    </row>
    <row r="64" ht="18" customHeight="1">
      <c r="A64" s="10" t="n"/>
      <c r="B64" s="98" t="inlineStr">
        <is>
          <t>2026-01-13</t>
        </is>
      </c>
      <c r="C64" s="99" t="inlineStr">
        <is>
          <t>1223 LKQ SS HUNTSVILLE</t>
        </is>
      </c>
      <c r="D64" s="100" t="n">
        <v>22.65</v>
      </c>
      <c r="E64" s="104">
        <f>IF($C64="","",IFERROR(LOOKUP(2,1/((ISNUMBER(SEARCH('Category Rules'!$B$6:$B$125,$C64)))*('Category Rules'!$B$6:$B$125&lt;&gt;"")),'Category Rules'!$C$6:$C$125),"Uncategorized"))</f>
        <v/>
      </c>
      <c r="F64" s="108" t="n"/>
      <c r="G64" s="106">
        <f>IF($C64="","",IF($F64&lt;&gt;"",$F64,$E64))</f>
        <v/>
      </c>
      <c r="H64" s="82">
        <f>IF($B64="","",TEXT($B64,"mmm yyyy"))</f>
        <v/>
      </c>
    </row>
    <row r="65" ht="18" customHeight="1">
      <c r="A65" s="14" t="n"/>
      <c r="B65" s="98" t="inlineStr">
        <is>
          <t>2026-01-13</t>
        </is>
      </c>
      <c r="C65" s="99" t="inlineStr">
        <is>
          <t>1223 LKQ SS HUNTSVILLE</t>
        </is>
      </c>
      <c r="D65" s="100" t="n">
        <v>10</v>
      </c>
      <c r="E65" s="101">
        <f>IF($C65="","",IFERROR(LOOKUP(2,1/((ISNUMBER(SEARCH('Category Rules'!$B$6:$B$125,$C65)))*('Category Rules'!$B$6:$B$125&lt;&gt;"")),'Category Rules'!$C$6:$C$125),"Uncategorized"))</f>
        <v/>
      </c>
      <c r="F65" s="108" t="n"/>
      <c r="G65" s="103">
        <f>IF($C65="","",IF($F65&lt;&gt;"",$F65,$E65))</f>
        <v/>
      </c>
      <c r="H65" s="85">
        <f>IF($B65="","",TEXT($B65,"mmm yyyy"))</f>
        <v/>
      </c>
    </row>
    <row r="66" ht="18" customHeight="1">
      <c r="A66" s="10" t="n"/>
      <c r="B66" s="98" t="inlineStr">
        <is>
          <t>2026-01-13</t>
        </is>
      </c>
      <c r="C66" s="99" t="inlineStr">
        <is>
          <t>sparklightacp</t>
        </is>
      </c>
      <c r="D66" s="100" t="n">
        <v>13.9</v>
      </c>
      <c r="E66" s="104">
        <f>IF($C66="","",IFERROR(LOOKUP(2,1/((ISNUMBER(SEARCH('Category Rules'!$B$6:$B$125,$C66)))*('Category Rules'!$B$6:$B$125&lt;&gt;"")),'Category Rules'!$C$6:$C$125),"Uncategorized"))</f>
        <v/>
      </c>
      <c r="F66" s="108" t="n"/>
      <c r="G66" s="106">
        <f>IF($C66="","",IF($F66&lt;&gt;"",$F66,$E66))</f>
        <v/>
      </c>
      <c r="H66" s="82">
        <f>IF($B66="","",TEXT($B66,"mmm yyyy"))</f>
        <v/>
      </c>
    </row>
    <row r="67" ht="18" customHeight="1">
      <c r="A67" s="14" t="n"/>
      <c r="B67" s="98" t="inlineStr">
        <is>
          <t>2026-01-14</t>
        </is>
      </c>
      <c r="C67" s="99" t="inlineStr">
        <is>
          <t>TACO BELL #7029161</t>
        </is>
      </c>
      <c r="D67" s="100" t="n">
        <v>7.63</v>
      </c>
      <c r="E67" s="101">
        <f>IF($C67="","",IFERROR(LOOKUP(2,1/((ISNUMBER(SEARCH('Category Rules'!$B$6:$B$125,$C67)))*('Category Rules'!$B$6:$B$125&lt;&gt;"")),'Category Rules'!$C$6:$C$125),"Uncategorized"))</f>
        <v/>
      </c>
      <c r="F67" s="108" t="n"/>
      <c r="G67" s="103">
        <f>IF($C67="","",IF($F67&lt;&gt;"",$F67,$E67))</f>
        <v/>
      </c>
      <c r="H67" s="85">
        <f>IF($B67="","",TEXT($B67,"mmm yyyy"))</f>
        <v/>
      </c>
    </row>
    <row r="68" ht="18" customHeight="1">
      <c r="A68" s="10" t="n"/>
      <c r="B68" s="98" t="inlineStr">
        <is>
          <t>2026-01-14</t>
        </is>
      </c>
      <c r="C68" s="99" t="inlineStr">
        <is>
          <t>Alabama Power</t>
        </is>
      </c>
      <c r="D68" s="100" t="n">
        <v>415.04</v>
      </c>
      <c r="E68" s="104">
        <f>IF($C68="","",IFERROR(LOOKUP(2,1/((ISNUMBER(SEARCH('Category Rules'!$B$6:$B$125,$C68)))*('Category Rules'!$B$6:$B$125&lt;&gt;"")),'Category Rules'!$C$6:$C$125),"Uncategorized"))</f>
        <v/>
      </c>
      <c r="F68" s="108" t="n"/>
      <c r="G68" s="106">
        <f>IF($C68="","",IF($F68&lt;&gt;"",$F68,$E68))</f>
        <v/>
      </c>
      <c r="H68" s="82">
        <f>IF($B68="","",TEXT($B68,"mmm yyyy"))</f>
        <v/>
      </c>
    </row>
    <row r="69" ht="18" customHeight="1">
      <c r="A69" s="14" t="n"/>
      <c r="B69" s="98" t="inlineStr">
        <is>
          <t>2026-01-15</t>
        </is>
      </c>
      <c r="C69" s="99" t="inlineStr">
        <is>
          <t>SPRING VALLEY SUPER ST</t>
        </is>
      </c>
      <c r="D69" s="100" t="n">
        <v>5.66</v>
      </c>
      <c r="E69" s="101">
        <f>IF($C69="","",IFERROR(LOOKUP(2,1/((ISNUMBER(SEARCH('Category Rules'!$B$6:$B$125,$C69)))*('Category Rules'!$B$6:$B$125&lt;&gt;"")),'Category Rules'!$C$6:$C$125),"Uncategorized"))</f>
        <v/>
      </c>
      <c r="F69" s="108" t="n"/>
      <c r="G69" s="103">
        <f>IF($C69="","",IF($F69&lt;&gt;"",$F69,$E69))</f>
        <v/>
      </c>
      <c r="H69" s="85">
        <f>IF($B69="","",TEXT($B69,"mmm yyyy"))</f>
        <v/>
      </c>
    </row>
    <row r="70" ht="18" customHeight="1">
      <c r="A70" s="10" t="n"/>
      <c r="B70" s="98" t="inlineStr">
        <is>
          <t>2026-01-15</t>
        </is>
      </c>
      <c r="C70" s="99" t="inlineStr">
        <is>
          <t>SITE209611 - CH</t>
        </is>
      </c>
      <c r="D70" s="100" t="n">
        <v>4.08</v>
      </c>
      <c r="E70" s="104">
        <f>IF($C70="","",IFERROR(LOOKUP(2,1/((ISNUMBER(SEARCH('Category Rules'!$B$6:$B$125,$C70)))*('Category Rules'!$B$6:$B$125&lt;&gt;"")),'Category Rules'!$C$6:$C$125),"Uncategorized"))</f>
        <v/>
      </c>
      <c r="F70" s="108" t="n"/>
      <c r="G70" s="106">
        <f>IF($C70="","",IF($F70&lt;&gt;"",$F70,$E70))</f>
        <v/>
      </c>
      <c r="H70" s="82">
        <f>IF($B70="","",TEXT($B70,"mmm yyyy"))</f>
        <v/>
      </c>
    </row>
    <row r="71" ht="18" customHeight="1">
      <c r="A71" s="14" t="n"/>
      <c r="B71" s="98" t="inlineStr">
        <is>
          <t>2026-01-15</t>
        </is>
      </c>
      <c r="C71" s="99" t="inlineStr">
        <is>
          <t>NETFLIX.COM</t>
        </is>
      </c>
      <c r="D71" s="100" t="n">
        <v>8.630000000000001</v>
      </c>
      <c r="E71" s="101">
        <f>IF($C71="","",IFERROR(LOOKUP(2,1/((ISNUMBER(SEARCH('Category Rules'!$B$6:$B$125,$C71)))*('Category Rules'!$B$6:$B$125&lt;&gt;"")),'Category Rules'!$C$6:$C$125),"Uncategorized"))</f>
        <v/>
      </c>
      <c r="F71" s="108" t="n"/>
      <c r="G71" s="103">
        <f>IF($C71="","",IF($F71&lt;&gt;"",$F71,$E71))</f>
        <v/>
      </c>
      <c r="H71" s="85">
        <f>IF($B71="","",TEXT($B71,"mmm yyyy"))</f>
        <v/>
      </c>
    </row>
    <row r="72" ht="18" customHeight="1">
      <c r="A72" s="10" t="n"/>
      <c r="B72" s="98" t="inlineStr">
        <is>
          <t>2026-01-16</t>
        </is>
      </c>
      <c r="C72" s="99" t="inlineStr">
        <is>
          <t>DOLLAR GENERAL # DG 203</t>
        </is>
      </c>
      <c r="D72" s="100" t="n">
        <v>3.19</v>
      </c>
      <c r="E72" s="104">
        <f>IF($C72="","",IFERROR(LOOKUP(2,1/((ISNUMBER(SEARCH('Category Rules'!$B$6:$B$125,$C72)))*('Category Rules'!$B$6:$B$125&lt;&gt;"")),'Category Rules'!$C$6:$C$125),"Uncategorized"))</f>
        <v/>
      </c>
      <c r="F72" s="108" t="n"/>
      <c r="G72" s="106">
        <f>IF($C72="","",IF($F72&lt;&gt;"",$F72,$E72))</f>
        <v/>
      </c>
      <c r="H72" s="82">
        <f>IF($B72="","",TEXT($B72,"mmm yyyy"))</f>
        <v/>
      </c>
    </row>
    <row r="73" ht="18" customHeight="1">
      <c r="A73" s="14" t="n"/>
      <c r="B73" s="98" t="inlineStr">
        <is>
          <t>2026-01-16</t>
        </is>
      </c>
      <c r="C73" s="99" t="inlineStr">
        <is>
          <t>LOWE'S #2659</t>
        </is>
      </c>
      <c r="D73" s="100" t="n">
        <v>23.08</v>
      </c>
      <c r="E73" s="101">
        <f>IF($C73="","",IFERROR(LOOKUP(2,1/((ISNUMBER(SEARCH('Category Rules'!$B$6:$B$125,$C73)))*('Category Rules'!$B$6:$B$125&lt;&gt;"")),'Category Rules'!$C$6:$C$125),"Uncategorized"))</f>
        <v/>
      </c>
      <c r="F73" s="108" t="n"/>
      <c r="G73" s="103">
        <f>IF($C73="","",IF($F73&lt;&gt;"",$F73,$E73))</f>
        <v/>
      </c>
      <c r="H73" s="85">
        <f>IF($B73="","",TEXT($B73,"mmm yyyy"))</f>
        <v/>
      </c>
    </row>
    <row r="74" ht="18" customHeight="1">
      <c r="A74" s="10" t="n"/>
      <c r="B74" s="98" t="inlineStr">
        <is>
          <t>2026-01-16</t>
        </is>
      </c>
      <c r="C74" s="99" t="inlineStr">
        <is>
          <t>help.hbomax.com</t>
        </is>
      </c>
      <c r="D74" s="100" t="n">
        <v>10.99</v>
      </c>
      <c r="E74" s="104">
        <f>IF($C74="","",IFERROR(LOOKUP(2,1/((ISNUMBER(SEARCH('Category Rules'!$B$6:$B$125,$C74)))*('Category Rules'!$B$6:$B$125&lt;&gt;"")),'Category Rules'!$C$6:$C$125),"Uncategorized"))</f>
        <v/>
      </c>
      <c r="F74" s="108" t="n"/>
      <c r="G74" s="106">
        <f>IF($C74="","",IF($F74&lt;&gt;"",$F74,$E74))</f>
        <v/>
      </c>
      <c r="H74" s="82">
        <f>IF($B74="","",TEXT($B74,"mmm yyyy"))</f>
        <v/>
      </c>
    </row>
    <row r="75" ht="18" customHeight="1">
      <c r="A75" s="14" t="n"/>
      <c r="B75" s="98" t="inlineStr">
        <is>
          <t>2026-01-16</t>
        </is>
      </c>
      <c r="C75" s="99" t="inlineStr">
        <is>
          <t>CALHOUN COUNTY W</t>
        </is>
      </c>
      <c r="D75" s="100" t="n">
        <v>40.52</v>
      </c>
      <c r="E75" s="101">
        <f>IF($C75="","",IFERROR(LOOKUP(2,1/((ISNUMBER(SEARCH('Category Rules'!$B$6:$B$125,$C75)))*('Category Rules'!$B$6:$B$125&lt;&gt;"")),'Category Rules'!$C$6:$C$125),"Uncategorized"))</f>
        <v/>
      </c>
      <c r="F75" s="108" t="n"/>
      <c r="G75" s="103">
        <f>IF($C75="","",IF($F75&lt;&gt;"",$F75,$E75))</f>
        <v/>
      </c>
      <c r="H75" s="85">
        <f>IF($B75="","",TEXT($B75,"mmm yyyy"))</f>
        <v/>
      </c>
    </row>
    <row r="76" ht="18" customHeight="1">
      <c r="A76" s="10" t="n"/>
      <c r="B76" s="98" t="inlineStr">
        <is>
          <t>2026-01-17</t>
        </is>
      </c>
      <c r="C76" s="99" t="inlineStr">
        <is>
          <t>SITE356853- CHE</t>
        </is>
      </c>
      <c r="D76" s="100" t="n">
        <v>13.23</v>
      </c>
      <c r="E76" s="104">
        <f>IF($C76="","",IFERROR(LOOKUP(2,1/((ISNUMBER(SEARCH('Category Rules'!$B$6:$B$125,$C76)))*('Category Rules'!$B$6:$B$125&lt;&gt;"")),'Category Rules'!$C$6:$C$125),"Uncategorized"))</f>
        <v/>
      </c>
      <c r="F76" s="108" t="n"/>
      <c r="G76" s="106">
        <f>IF($C76="","",IF($F76&lt;&gt;"",$F76,$E76))</f>
        <v/>
      </c>
      <c r="H76" s="82">
        <f>IF($B76="","",TEXT($B76,"mmm yyyy"))</f>
        <v/>
      </c>
    </row>
    <row r="77" ht="18" customHeight="1">
      <c r="A77" s="14" t="n"/>
      <c r="B77" s="98" t="inlineStr">
        <is>
          <t>2026-01-17</t>
        </is>
      </c>
      <c r="C77" s="99" t="inlineStr">
        <is>
          <t>DOLLAR GENERAL # DG 203</t>
        </is>
      </c>
      <c r="D77" s="100" t="n">
        <v>16.5</v>
      </c>
      <c r="E77" s="101">
        <f>IF($C77="","",IFERROR(LOOKUP(2,1/((ISNUMBER(SEARCH('Category Rules'!$B$6:$B$125,$C77)))*('Category Rules'!$B$6:$B$125&lt;&gt;"")),'Category Rules'!$C$6:$C$125),"Uncategorized"))</f>
        <v/>
      </c>
      <c r="F77" s="108" t="n"/>
      <c r="G77" s="103">
        <f>IF($C77="","",IF($F77&lt;&gt;"",$F77,$E77))</f>
        <v/>
      </c>
      <c r="H77" s="85">
        <f>IF($B77="","",TEXT($B77,"mmm yyyy"))</f>
        <v/>
      </c>
    </row>
    <row r="78" ht="18" customHeight="1">
      <c r="A78" s="10" t="n"/>
      <c r="B78" s="98" t="inlineStr">
        <is>
          <t>2026-01-17</t>
        </is>
      </c>
      <c r="C78" s="99" t="inlineStr">
        <is>
          <t>SITE356853- CHE</t>
        </is>
      </c>
      <c r="D78" s="100" t="n">
        <v>4.31</v>
      </c>
      <c r="E78" s="104">
        <f>IF($C78="","",IFERROR(LOOKUP(2,1/((ISNUMBER(SEARCH('Category Rules'!$B$6:$B$125,$C78)))*('Category Rules'!$B$6:$B$125&lt;&gt;"")),'Category Rules'!$C$6:$C$125),"Uncategorized"))</f>
        <v/>
      </c>
      <c r="F78" s="108" t="n"/>
      <c r="G78" s="106">
        <f>IF($C78="","",IF($F78&lt;&gt;"",$F78,$E78))</f>
        <v/>
      </c>
      <c r="H78" s="82">
        <f>IF($B78="","",TEXT($B78,"mmm yyyy"))</f>
        <v/>
      </c>
    </row>
    <row r="79" ht="18" customHeight="1">
      <c r="A79" s="14" t="n"/>
      <c r="B79" s="98" t="inlineStr">
        <is>
          <t>2026-01-18</t>
        </is>
      </c>
      <c r="C79" s="99" t="inlineStr">
        <is>
          <t>MARATHON 235473</t>
        </is>
      </c>
      <c r="D79" s="100" t="n">
        <v>30.46</v>
      </c>
      <c r="E79" s="101">
        <f>IF($C79="","",IFERROR(LOOKUP(2,1/((ISNUMBER(SEARCH('Category Rules'!$B$6:$B$125,$C79)))*('Category Rules'!$B$6:$B$125&lt;&gt;"")),'Category Rules'!$C$6:$C$125),"Uncategorized"))</f>
        <v/>
      </c>
      <c r="F79" s="108" t="n"/>
      <c r="G79" s="103">
        <f>IF($C79="","",IF($F79&lt;&gt;"",$F79,$E79))</f>
        <v/>
      </c>
      <c r="H79" s="85">
        <f>IF($B79="","",TEXT($B79,"mmm yyyy"))</f>
        <v/>
      </c>
    </row>
    <row r="80" ht="18" customHeight="1">
      <c r="A80" s="10" t="n"/>
      <c r="B80" s="98" t="inlineStr">
        <is>
          <t>2026-01-18</t>
        </is>
      </c>
      <c r="C80" s="99" t="inlineStr">
        <is>
          <t>SITE356853- CHE</t>
        </is>
      </c>
      <c r="D80" s="100" t="n">
        <v>20.5</v>
      </c>
      <c r="E80" s="104">
        <f>IF($C80="","",IFERROR(LOOKUP(2,1/((ISNUMBER(SEARCH('Category Rules'!$B$6:$B$125,$C80)))*('Category Rules'!$B$6:$B$125&lt;&gt;"")),'Category Rules'!$C$6:$C$125),"Uncategorized"))</f>
        <v/>
      </c>
      <c r="F80" s="108" t="n"/>
      <c r="G80" s="106">
        <f>IF($C80="","",IF($F80&lt;&gt;"",$F80,$E80))</f>
        <v/>
      </c>
      <c r="H80" s="82">
        <f>IF($B80="","",TEXT($B80,"mmm yyyy"))</f>
        <v/>
      </c>
    </row>
    <row r="81" ht="18" customHeight="1">
      <c r="A81" s="14" t="n"/>
      <c r="B81" s="98" t="inlineStr">
        <is>
          <t>2026-01-18</t>
        </is>
      </c>
      <c r="C81" s="99" t="inlineStr">
        <is>
          <t>WILDWOOD GROCER</t>
        </is>
      </c>
      <c r="D81" s="100" t="n">
        <v>4.27</v>
      </c>
      <c r="E81" s="101">
        <f>IF($C81="","",IFERROR(LOOKUP(2,1/((ISNUMBER(SEARCH('Category Rules'!$B$6:$B$125,$C81)))*('Category Rules'!$B$6:$B$125&lt;&gt;"")),'Category Rules'!$C$6:$C$125),"Uncategorized"))</f>
        <v/>
      </c>
      <c r="F81" s="108" t="n"/>
      <c r="G81" s="103">
        <f>IF($C81="","",IF($F81&lt;&gt;"",$F81,$E81))</f>
        <v/>
      </c>
      <c r="H81" s="85">
        <f>IF($B81="","",TEXT($B81,"mmm yyyy"))</f>
        <v/>
      </c>
    </row>
    <row r="82" ht="18" customHeight="1">
      <c r="A82" s="10" t="n"/>
      <c r="B82" s="98" t="inlineStr">
        <is>
          <t>2026-01-18</t>
        </is>
      </c>
      <c r="C82" s="99" t="inlineStr">
        <is>
          <t>TST* ROCK N ROOSTER SA</t>
        </is>
      </c>
      <c r="D82" s="100" t="n">
        <v>10.6</v>
      </c>
      <c r="E82" s="104">
        <f>IF($C82="","",IFERROR(LOOKUP(2,1/((ISNUMBER(SEARCH('Category Rules'!$B$6:$B$125,$C82)))*('Category Rules'!$B$6:$B$125&lt;&gt;"")),'Category Rules'!$C$6:$C$125),"Uncategorized"))</f>
        <v/>
      </c>
      <c r="F82" s="108" t="n"/>
      <c r="G82" s="106">
        <f>IF($C82="","",IF($F82&lt;&gt;"",$F82,$E82))</f>
        <v/>
      </c>
      <c r="H82" s="82">
        <f>IF($B82="","",TEXT($B82,"mmm yyyy"))</f>
        <v/>
      </c>
    </row>
    <row r="83" ht="18" customHeight="1">
      <c r="A83" s="14" t="n"/>
      <c r="B83" s="98" t="inlineStr">
        <is>
          <t>2026-01-19</t>
        </is>
      </c>
      <c r="C83" s="99" t="inlineStr">
        <is>
          <t>SITE358559 - TE</t>
        </is>
      </c>
      <c r="D83" s="100" t="n">
        <v>40.68</v>
      </c>
      <c r="E83" s="101">
        <f>IF($C83="","",IFERROR(LOOKUP(2,1/((ISNUMBER(SEARCH('Category Rules'!$B$6:$B$125,$C83)))*('Category Rules'!$B$6:$B$125&lt;&gt;"")),'Category Rules'!$C$6:$C$125),"Uncategorized"))</f>
        <v/>
      </c>
      <c r="F83" s="108" t="n"/>
      <c r="G83" s="103">
        <f>IF($C83="","",IF($F83&lt;&gt;"",$F83,$E83))</f>
        <v/>
      </c>
      <c r="H83" s="85">
        <f>IF($B83="","",TEXT($B83,"mmm yyyy"))</f>
        <v/>
      </c>
    </row>
    <row r="84" ht="18" customHeight="1">
      <c r="A84" s="10" t="n"/>
      <c r="B84" s="98" t="inlineStr">
        <is>
          <t>2026-01-19</t>
        </is>
      </c>
      <c r="C84" s="99" t="inlineStr">
        <is>
          <t>PIC'N SAVE #248</t>
        </is>
      </c>
      <c r="D84" s="100" t="n">
        <v>2.01</v>
      </c>
      <c r="E84" s="104">
        <f>IF($C84="","",IFERROR(LOOKUP(2,1/((ISNUMBER(SEARCH('Category Rules'!$B$6:$B$125,$C84)))*('Category Rules'!$B$6:$B$125&lt;&gt;"")),'Category Rules'!$C$6:$C$125),"Uncategorized"))</f>
        <v/>
      </c>
      <c r="F84" s="108" t="n"/>
      <c r="G84" s="106">
        <f>IF($C84="","",IF($F84&lt;&gt;"",$F84,$E84))</f>
        <v/>
      </c>
      <c r="H84" s="82">
        <f>IF($B84="","",TEXT($B84,"mmm yyyy"))</f>
        <v/>
      </c>
    </row>
    <row r="85" ht="18" customHeight="1">
      <c r="A85" s="14" t="n"/>
      <c r="B85" s="98" t="inlineStr">
        <is>
          <t>2026-01-19</t>
        </is>
      </c>
      <c r="C85" s="99" t="inlineStr">
        <is>
          <t>SITE358559 - TE</t>
        </is>
      </c>
      <c r="D85" s="100" t="n">
        <v>6.49</v>
      </c>
      <c r="E85" s="101">
        <f>IF($C85="","",IFERROR(LOOKUP(2,1/((ISNUMBER(SEARCH('Category Rules'!$B$6:$B$125,$C85)))*('Category Rules'!$B$6:$B$125&lt;&gt;"")),'Category Rules'!$C$6:$C$125),"Uncategorized"))</f>
        <v/>
      </c>
      <c r="F85" s="108" t="n"/>
      <c r="G85" s="103">
        <f>IF($C85="","",IF($F85&lt;&gt;"",$F85,$E85))</f>
        <v/>
      </c>
      <c r="H85" s="85">
        <f>IF($B85="","",TEXT($B85,"mmm yyyy"))</f>
        <v/>
      </c>
    </row>
    <row r="86" ht="18" customHeight="1">
      <c r="A86" s="10" t="n"/>
      <c r="B86" s="98" t="inlineStr">
        <is>
          <t>2026-01-19</t>
        </is>
      </c>
      <c r="C86" s="99" t="inlineStr">
        <is>
          <t>PIC'N SAVE #248</t>
        </is>
      </c>
      <c r="D86" s="100" t="n">
        <v>4.28</v>
      </c>
      <c r="E86" s="104">
        <f>IF($C86="","",IFERROR(LOOKUP(2,1/((ISNUMBER(SEARCH('Category Rules'!$B$6:$B$125,$C86)))*('Category Rules'!$B$6:$B$125&lt;&gt;"")),'Category Rules'!$C$6:$C$125),"Uncategorized"))</f>
        <v/>
      </c>
      <c r="F86" s="108" t="n"/>
      <c r="G86" s="106">
        <f>IF($C86="","",IF($F86&lt;&gt;"",$F86,$E86))</f>
        <v/>
      </c>
      <c r="H86" s="82">
        <f>IF($B86="","",TEXT($B86,"mmm yyyy"))</f>
        <v/>
      </c>
    </row>
    <row r="87" ht="18" customHeight="1">
      <c r="A87" s="14" t="n"/>
      <c r="B87" s="98" t="inlineStr">
        <is>
          <t>2026-01-19</t>
        </is>
      </c>
      <c r="C87" s="99" t="inlineStr">
        <is>
          <t>PIC'N SAVE #248</t>
        </is>
      </c>
      <c r="D87" s="100" t="n">
        <v>2.51</v>
      </c>
      <c r="E87" s="101">
        <f>IF($C87="","",IFERROR(LOOKUP(2,1/((ISNUMBER(SEARCH('Category Rules'!$B$6:$B$125,$C87)))*('Category Rules'!$B$6:$B$125&lt;&gt;"")),'Category Rules'!$C$6:$C$125),"Uncategorized"))</f>
        <v/>
      </c>
      <c r="F87" s="108" t="n"/>
      <c r="G87" s="103">
        <f>IF($C87="","",IF($F87&lt;&gt;"",$F87,$E87))</f>
        <v/>
      </c>
      <c r="H87" s="85">
        <f>IF($B87="","",TEXT($B87,"mmm yyyy"))</f>
        <v/>
      </c>
    </row>
    <row r="88" ht="18" customHeight="1">
      <c r="A88" s="10" t="n"/>
      <c r="B88" s="98" t="inlineStr">
        <is>
          <t>2026-01-19</t>
        </is>
      </c>
      <c r="C88" s="99" t="inlineStr">
        <is>
          <t>TST*WIGGLYS JACKSONVIL</t>
        </is>
      </c>
      <c r="D88" s="100" t="n">
        <v>20.59</v>
      </c>
      <c r="E88" s="104">
        <f>IF($C88="","",IFERROR(LOOKUP(2,1/((ISNUMBER(SEARCH('Category Rules'!$B$6:$B$125,$C88)))*('Category Rules'!$B$6:$B$125&lt;&gt;"")),'Category Rules'!$C$6:$C$125),"Uncategorized"))</f>
        <v/>
      </c>
      <c r="F88" s="108" t="n"/>
      <c r="G88" s="106">
        <f>IF($C88="","",IF($F88&lt;&gt;"",$F88,$E88))</f>
        <v/>
      </c>
      <c r="H88" s="82">
        <f>IF($B88="","",TEXT($B88,"mmm yyyy"))</f>
        <v/>
      </c>
    </row>
    <row r="89" ht="18" customHeight="1">
      <c r="A89" s="14" t="n"/>
      <c r="B89" s="98" t="inlineStr">
        <is>
          <t>2026-01-19</t>
        </is>
      </c>
      <c r="C89" s="99" t="inlineStr">
        <is>
          <t>TST*WIGGLYS JACKSONVIL</t>
        </is>
      </c>
      <c r="D89" s="100" t="n">
        <v>7.59</v>
      </c>
      <c r="E89" s="101">
        <f>IF($C89="","",IFERROR(LOOKUP(2,1/((ISNUMBER(SEARCH('Category Rules'!$B$6:$B$125,$C89)))*('Category Rules'!$B$6:$B$125&lt;&gt;"")),'Category Rules'!$C$6:$C$125),"Uncategorized"))</f>
        <v/>
      </c>
      <c r="F89" s="108" t="n"/>
      <c r="G89" s="103">
        <f>IF($C89="","",IF($F89&lt;&gt;"",$F89,$E89))</f>
        <v/>
      </c>
      <c r="H89" s="85">
        <f>IF($B89="","",TEXT($B89,"mmm yyyy"))</f>
        <v/>
      </c>
    </row>
    <row r="90" ht="18" customHeight="1">
      <c r="A90" s="10" t="n"/>
      <c r="B90" s="98" t="inlineStr">
        <is>
          <t>2026-01-19</t>
        </is>
      </c>
      <c r="C90" s="99" t="inlineStr">
        <is>
          <t>SISTERS</t>
        </is>
      </c>
      <c r="D90" s="100" t="n">
        <v>9.130000000000001</v>
      </c>
      <c r="E90" s="104">
        <f>IF($C90="","",IFERROR(LOOKUP(2,1/((ISNUMBER(SEARCH('Category Rules'!$B$6:$B$125,$C90)))*('Category Rules'!$B$6:$B$125&lt;&gt;"")),'Category Rules'!$C$6:$C$125),"Uncategorized"))</f>
        <v/>
      </c>
      <c r="F90" s="108" t="n"/>
      <c r="G90" s="106">
        <f>IF($C90="","",IF($F90&lt;&gt;"",$F90,$E90))</f>
        <v/>
      </c>
      <c r="H90" s="82">
        <f>IF($B90="","",TEXT($B90,"mmm yyyy"))</f>
        <v/>
      </c>
    </row>
    <row r="91" ht="18" customHeight="1">
      <c r="A91" s="14" t="n"/>
      <c r="B91" s="98" t="inlineStr">
        <is>
          <t>2026-01-19</t>
        </is>
      </c>
      <c r="C91" s="99" t="inlineStr">
        <is>
          <t>PAPA JOHN'S #0691</t>
        </is>
      </c>
      <c r="D91" s="100" t="n">
        <v>17.98</v>
      </c>
      <c r="E91" s="101">
        <f>IF($C91="","",IFERROR(LOOKUP(2,1/((ISNUMBER(SEARCH('Category Rules'!$B$6:$B$125,$C91)))*('Category Rules'!$B$6:$B$125&lt;&gt;"")),'Category Rules'!$C$6:$C$125),"Uncategorized"))</f>
        <v/>
      </c>
      <c r="F91" s="108" t="n"/>
      <c r="G91" s="103">
        <f>IF($C91="","",IF($F91&lt;&gt;"",$F91,$E91))</f>
        <v/>
      </c>
      <c r="H91" s="85">
        <f>IF($B91="","",TEXT($B91,"mmm yyyy"))</f>
        <v/>
      </c>
    </row>
    <row r="92" ht="18" customHeight="1">
      <c r="A92" s="10" t="n"/>
      <c r="B92" s="98" t="inlineStr">
        <is>
          <t>2026-01-19</t>
        </is>
      </c>
      <c r="C92" s="99" t="inlineStr">
        <is>
          <t>Prime Video Channels</t>
        </is>
      </c>
      <c r="D92" s="100" t="n">
        <v>14.03</v>
      </c>
      <c r="E92" s="104">
        <f>IF($C92="","",IFERROR(LOOKUP(2,1/((ISNUMBER(SEARCH('Category Rules'!$B$6:$B$125,$C92)))*('Category Rules'!$B$6:$B$125&lt;&gt;"")),'Category Rules'!$C$6:$C$125),"Uncategorized"))</f>
        <v/>
      </c>
      <c r="F92" s="108" t="n"/>
      <c r="G92" s="106">
        <f>IF($C92="","",IF($F92&lt;&gt;"",$F92,$E92))</f>
        <v/>
      </c>
      <c r="H92" s="82">
        <f>IF($B92="","",TEXT($B92,"mmm yyyy"))</f>
        <v/>
      </c>
    </row>
    <row r="93" ht="18" customHeight="1">
      <c r="A93" s="14" t="n"/>
      <c r="B93" s="98" t="inlineStr">
        <is>
          <t>2026-01-19</t>
        </is>
      </c>
      <c r="C93" s="99" t="inlineStr">
        <is>
          <t>COOK OUT JACKSONVILLE</t>
        </is>
      </c>
      <c r="D93" s="100" t="n">
        <v>8.789999999999999</v>
      </c>
      <c r="E93" s="101">
        <f>IF($C93="","",IFERROR(LOOKUP(2,1/((ISNUMBER(SEARCH('Category Rules'!$B$6:$B$125,$C93)))*('Category Rules'!$B$6:$B$125&lt;&gt;"")),'Category Rules'!$C$6:$C$125),"Uncategorized"))</f>
        <v/>
      </c>
      <c r="F93" s="108" t="n"/>
      <c r="G93" s="103">
        <f>IF($C93="","",IF($F93&lt;&gt;"",$F93,$E93))</f>
        <v/>
      </c>
      <c r="H93" s="85">
        <f>IF($B93="","",TEXT($B93,"mmm yyyy"))</f>
        <v/>
      </c>
    </row>
    <row r="94" ht="18" customHeight="1">
      <c r="A94" s="10" t="n"/>
      <c r="B94" s="98" t="inlineStr">
        <is>
          <t>2026-01-19</t>
        </is>
      </c>
      <c r="C94" s="99" t="inlineStr">
        <is>
          <t>COOK OUT JACKSONVILLE</t>
        </is>
      </c>
      <c r="D94" s="100" t="n">
        <v>8.789999999999999</v>
      </c>
      <c r="E94" s="104">
        <f>IF($C94="","",IFERROR(LOOKUP(2,1/((ISNUMBER(SEARCH('Category Rules'!$B$6:$B$125,$C94)))*('Category Rules'!$B$6:$B$125&lt;&gt;"")),'Category Rules'!$C$6:$C$125),"Uncategorized"))</f>
        <v/>
      </c>
      <c r="F94" s="108" t="n"/>
      <c r="G94" s="106">
        <f>IF($C94="","",IF($F94&lt;&gt;"",$F94,$E94))</f>
        <v/>
      </c>
      <c r="H94" s="82">
        <f>IF($B94="","",TEXT($B94,"mmm yyyy"))</f>
        <v/>
      </c>
    </row>
    <row r="95" ht="18" customHeight="1">
      <c r="A95" s="14" t="n"/>
      <c r="B95" s="98" t="inlineStr">
        <is>
          <t>2026-01-20</t>
        </is>
      </c>
      <c r="C95" s="99" t="inlineStr">
        <is>
          <t>SITE356853- CHE</t>
        </is>
      </c>
      <c r="D95" s="100" t="n">
        <v>17.59</v>
      </c>
      <c r="E95" s="101">
        <f>IF($C95="","",IFERROR(LOOKUP(2,1/((ISNUMBER(SEARCH('Category Rules'!$B$6:$B$125,$C95)))*('Category Rules'!$B$6:$B$125&lt;&gt;"")),'Category Rules'!$C$6:$C$125),"Uncategorized"))</f>
        <v/>
      </c>
      <c r="F95" s="108" t="n"/>
      <c r="G95" s="103">
        <f>IF($C95="","",IF($F95&lt;&gt;"",$F95,$E95))</f>
        <v/>
      </c>
      <c r="H95" s="85">
        <f>IF($B95="","",TEXT($B95,"mmm yyyy"))</f>
        <v/>
      </c>
    </row>
    <row r="96" ht="18" customHeight="1">
      <c r="A96" s="10" t="n"/>
      <c r="B96" s="98" t="inlineStr">
        <is>
          <t>2026-01-20</t>
        </is>
      </c>
      <c r="C96" s="99" t="inlineStr">
        <is>
          <t>POPS LANDING</t>
        </is>
      </c>
      <c r="D96" s="100" t="n">
        <v>5.63</v>
      </c>
      <c r="E96" s="104">
        <f>IF($C96="","",IFERROR(LOOKUP(2,1/((ISNUMBER(SEARCH('Category Rules'!$B$6:$B$125,$C96)))*('Category Rules'!$B$6:$B$125&lt;&gt;"")),'Category Rules'!$C$6:$C$125),"Uncategorized"))</f>
        <v/>
      </c>
      <c r="F96" s="108" t="n"/>
      <c r="G96" s="106">
        <f>IF($C96="","",IF($F96&lt;&gt;"",$F96,$E96))</f>
        <v/>
      </c>
      <c r="H96" s="82">
        <f>IF($B96="","",TEXT($B96,"mmm yyyy"))</f>
        <v/>
      </c>
    </row>
    <row r="97" ht="18" customHeight="1">
      <c r="A97" s="14" t="n"/>
      <c r="B97" s="98" t="inlineStr">
        <is>
          <t>2026-01-20</t>
        </is>
      </c>
      <c r="C97" s="99" t="inlineStr">
        <is>
          <t>WHATABURGER 1492</t>
        </is>
      </c>
      <c r="D97" s="100" t="n">
        <v>16.09</v>
      </c>
      <c r="E97" s="101">
        <f>IF($C97="","",IFERROR(LOOKUP(2,1/((ISNUMBER(SEARCH('Category Rules'!$B$6:$B$125,$C97)))*('Category Rules'!$B$6:$B$125&lt;&gt;"")),'Category Rules'!$C$6:$C$125),"Uncategorized"))</f>
        <v/>
      </c>
      <c r="F97" s="108" t="n"/>
      <c r="G97" s="103">
        <f>IF($C97="","",IF($F97&lt;&gt;"",$F97,$E97))</f>
        <v/>
      </c>
      <c r="H97" s="85">
        <f>IF($B97="","",TEXT($B97,"mmm yyyy"))</f>
        <v/>
      </c>
    </row>
    <row r="98" ht="18" customHeight="1">
      <c r="A98" s="10" t="n"/>
      <c r="B98" s="98" t="inlineStr">
        <is>
          <t>2026-01-20</t>
        </is>
      </c>
      <c r="C98" s="99" t="inlineStr">
        <is>
          <t>TST* ROCK N ROOSTER SA</t>
        </is>
      </c>
      <c r="D98" s="100" t="n">
        <v>12.25</v>
      </c>
      <c r="E98" s="104">
        <f>IF($C98="","",IFERROR(LOOKUP(2,1/((ISNUMBER(SEARCH('Category Rules'!$B$6:$B$125,$C98)))*('Category Rules'!$B$6:$B$125&lt;&gt;"")),'Category Rules'!$C$6:$C$125),"Uncategorized"))</f>
        <v/>
      </c>
      <c r="F98" s="108" t="n"/>
      <c r="G98" s="106">
        <f>IF($C98="","",IF($F98&lt;&gt;"",$F98,$E98))</f>
        <v/>
      </c>
      <c r="H98" s="82">
        <f>IF($B98="","",TEXT($B98,"mmm yyyy"))</f>
        <v/>
      </c>
    </row>
    <row r="99" ht="18" customHeight="1">
      <c r="A99" s="14" t="n"/>
      <c r="B99" s="98" t="inlineStr">
        <is>
          <t>2026-01-21</t>
        </is>
      </c>
      <c r="C99" s="99" t="inlineStr">
        <is>
          <t>WAL-MART #0300</t>
        </is>
      </c>
      <c r="D99" s="100" t="n">
        <v>163.11</v>
      </c>
      <c r="E99" s="101">
        <f>IF($C99="","",IFERROR(LOOKUP(2,1/((ISNUMBER(SEARCH('Category Rules'!$B$6:$B$125,$C99)))*('Category Rules'!$B$6:$B$125&lt;&gt;"")),'Category Rules'!$C$6:$C$125),"Uncategorized"))</f>
        <v/>
      </c>
      <c r="F99" s="108" t="n"/>
      <c r="G99" s="103">
        <f>IF($C99="","",IF($F99&lt;&gt;"",$F99,$E99))</f>
        <v/>
      </c>
      <c r="H99" s="85">
        <f>IF($B99="","",TEXT($B99,"mmm yyyy"))</f>
        <v/>
      </c>
    </row>
    <row r="100" ht="18" customHeight="1">
      <c r="A100" s="10" t="n"/>
      <c r="B100" s="98" t="inlineStr">
        <is>
          <t>2026-01-21</t>
        </is>
      </c>
      <c r="C100" s="99" t="inlineStr">
        <is>
          <t>Bojangles 0914</t>
        </is>
      </c>
      <c r="D100" s="100" t="n">
        <v>8.130000000000001</v>
      </c>
      <c r="E100" s="104">
        <f>IF($C100="","",IFERROR(LOOKUP(2,1/((ISNUMBER(SEARCH('Category Rules'!$B$6:$B$125,$C100)))*('Category Rules'!$B$6:$B$125&lt;&gt;"")),'Category Rules'!$C$6:$C$125),"Uncategorized"))</f>
        <v/>
      </c>
      <c r="F100" s="108" t="n"/>
      <c r="G100" s="106">
        <f>IF($C100="","",IF($F100&lt;&gt;"",$F100,$E100))</f>
        <v/>
      </c>
      <c r="H100" s="82">
        <f>IF($B100="","",TEXT($B100,"mmm yyyy"))</f>
        <v/>
      </c>
    </row>
    <row r="101" ht="18" customHeight="1">
      <c r="A101" s="14" t="n"/>
      <c r="B101" s="98" t="inlineStr">
        <is>
          <t>2026-01-22</t>
        </is>
      </c>
      <c r="C101" s="99" t="inlineStr">
        <is>
          <t>HT EXPRESS 4</t>
        </is>
      </c>
      <c r="D101" s="100" t="n">
        <v>6.59</v>
      </c>
      <c r="E101" s="101">
        <f>IF($C101="","",IFERROR(LOOKUP(2,1/((ISNUMBER(SEARCH('Category Rules'!$B$6:$B$125,$C101)))*('Category Rules'!$B$6:$B$125&lt;&gt;"")),'Category Rules'!$C$6:$C$125),"Uncategorized"))</f>
        <v/>
      </c>
      <c r="F101" s="108" t="n"/>
      <c r="G101" s="103">
        <f>IF($C101="","",IF($F101&lt;&gt;"",$F101,$E101))</f>
        <v/>
      </c>
      <c r="H101" s="85">
        <f>IF($B101="","",TEXT($B101,"mmm yyyy"))</f>
        <v/>
      </c>
    </row>
    <row r="102" ht="18" customHeight="1">
      <c r="A102" s="10" t="n"/>
      <c r="B102" s="98" t="inlineStr">
        <is>
          <t>2026-01-22</t>
        </is>
      </c>
      <c r="C102" s="99" t="inlineStr">
        <is>
          <t>TACO BELL #7029147</t>
        </is>
      </c>
      <c r="D102" s="100" t="n">
        <v>7.25</v>
      </c>
      <c r="E102" s="104">
        <f>IF($C102="","",IFERROR(LOOKUP(2,1/((ISNUMBER(SEARCH('Category Rules'!$B$6:$B$125,$C102)))*('Category Rules'!$B$6:$B$125&lt;&gt;"")),'Category Rules'!$C$6:$C$125),"Uncategorized"))</f>
        <v/>
      </c>
      <c r="F102" s="108" t="n"/>
      <c r="G102" s="106">
        <f>IF($C102="","",IF($F102&lt;&gt;"",$F102,$E102))</f>
        <v/>
      </c>
      <c r="H102" s="82">
        <f>IF($B102="","",TEXT($B102,"mmm yyyy"))</f>
        <v/>
      </c>
    </row>
    <row r="103" ht="18" customHeight="1">
      <c r="A103" s="14" t="n"/>
      <c r="B103" s="98" t="inlineStr">
        <is>
          <t>2026-01-22</t>
        </is>
      </c>
      <c r="C103" s="99" t="inlineStr">
        <is>
          <t>Bojangles 0914</t>
        </is>
      </c>
      <c r="D103" s="100" t="n">
        <v>12.52</v>
      </c>
      <c r="E103" s="101">
        <f>IF($C103="","",IFERROR(LOOKUP(2,1/((ISNUMBER(SEARCH('Category Rules'!$B$6:$B$125,$C103)))*('Category Rules'!$B$6:$B$125&lt;&gt;"")),'Category Rules'!$C$6:$C$125),"Uncategorized"))</f>
        <v/>
      </c>
      <c r="F103" s="108" t="n"/>
      <c r="G103" s="103">
        <f>IF($C103="","",IF($F103&lt;&gt;"",$F103,$E103))</f>
        <v/>
      </c>
      <c r="H103" s="85">
        <f>IF($B103="","",TEXT($B103,"mmm yyyy"))</f>
        <v/>
      </c>
    </row>
    <row r="104" ht="18" customHeight="1">
      <c r="A104" s="10" t="n"/>
      <c r="B104" s="98" t="inlineStr">
        <is>
          <t>2026-01-22</t>
        </is>
      </c>
      <c r="C104" s="99" t="inlineStr">
        <is>
          <t>LOWES</t>
        </is>
      </c>
      <c r="D104" s="100" t="n">
        <v>161.32</v>
      </c>
      <c r="E104" s="104">
        <f>IF($C104="","",IFERROR(LOOKUP(2,1/((ISNUMBER(SEARCH('Category Rules'!$B$6:$B$125,$C104)))*('Category Rules'!$B$6:$B$125&lt;&gt;"")),'Category Rules'!$C$6:$C$125),"Uncategorized"))</f>
        <v/>
      </c>
      <c r="F104" s="108" t="n"/>
      <c r="G104" s="106">
        <f>IF($C104="","",IF($F104&lt;&gt;"",$F104,$E104))</f>
        <v/>
      </c>
      <c r="H104" s="82">
        <f>IF($B104="","",TEXT($B104,"mmm yyyy"))</f>
        <v/>
      </c>
    </row>
    <row r="105" ht="18" customHeight="1">
      <c r="A105" s="14" t="n"/>
      <c r="B105" s="98" t="inlineStr">
        <is>
          <t>2026-01-23</t>
        </is>
      </c>
      <c r="C105" s="99" t="inlineStr">
        <is>
          <t>MAPCO 5108 706 PELHAM R</t>
        </is>
      </c>
      <c r="D105" s="100" t="n">
        <v>54.41</v>
      </c>
      <c r="E105" s="101">
        <f>IF($C105="","",IFERROR(LOOKUP(2,1/((ISNUMBER(SEARCH('Category Rules'!$B$6:$B$125,$C105)))*('Category Rules'!$B$6:$B$125&lt;&gt;"")),'Category Rules'!$C$6:$C$125),"Uncategorized"))</f>
        <v/>
      </c>
      <c r="F105" s="108" t="n"/>
      <c r="G105" s="103">
        <f>IF($C105="","",IF($F105&lt;&gt;"",$F105,$E105))</f>
        <v/>
      </c>
      <c r="H105" s="85">
        <f>IF($B105="","",TEXT($B105,"mmm yyyy"))</f>
        <v/>
      </c>
    </row>
    <row r="106" ht="18" customHeight="1">
      <c r="A106" s="10" t="n"/>
      <c r="B106" s="98" t="inlineStr">
        <is>
          <t>2026-01-23</t>
        </is>
      </c>
      <c r="C106" s="99" t="inlineStr">
        <is>
          <t>WM SUPERCENTER #329</t>
        </is>
      </c>
      <c r="D106" s="100" t="n">
        <v>5.43</v>
      </c>
      <c r="E106" s="104">
        <f>IF($C106="","",IFERROR(LOOKUP(2,1/((ISNUMBER(SEARCH('Category Rules'!$B$6:$B$125,$C106)))*('Category Rules'!$B$6:$B$125&lt;&gt;"")),'Category Rules'!$C$6:$C$125),"Uncategorized"))</f>
        <v/>
      </c>
      <c r="F106" s="108" t="n"/>
      <c r="G106" s="106">
        <f>IF($C106="","",IF($F106&lt;&gt;"",$F106,$E106))</f>
        <v/>
      </c>
      <c r="H106" s="82">
        <f>IF($B106="","",TEXT($B106,"mmm yyyy"))</f>
        <v/>
      </c>
    </row>
    <row r="107" ht="18" customHeight="1">
      <c r="A107" s="14" t="n"/>
      <c r="B107" s="98" t="inlineStr">
        <is>
          <t>2026-01-23</t>
        </is>
      </c>
      <c r="C107" s="99" t="inlineStr">
        <is>
          <t>WAL-MART #0329</t>
        </is>
      </c>
      <c r="D107" s="100" t="n">
        <v>4.49</v>
      </c>
      <c r="E107" s="101">
        <f>IF($C107="","",IFERROR(LOOKUP(2,1/((ISNUMBER(SEARCH('Category Rules'!$B$6:$B$125,$C107)))*('Category Rules'!$B$6:$B$125&lt;&gt;"")),'Category Rules'!$C$6:$C$125),"Uncategorized"))</f>
        <v/>
      </c>
      <c r="F107" s="108" t="n"/>
      <c r="G107" s="103">
        <f>IF($C107="","",IF($F107&lt;&gt;"",$F107,$E107))</f>
        <v/>
      </c>
      <c r="H107" s="85">
        <f>IF($B107="","",TEXT($B107,"mmm yyyy"))</f>
        <v/>
      </c>
    </row>
    <row r="108" ht="18" customHeight="1">
      <c r="A108" s="10" t="n"/>
      <c r="B108" s="98" t="inlineStr">
        <is>
          <t>2026-01-23</t>
        </is>
      </c>
      <c r="C108" s="99" t="inlineStr">
        <is>
          <t>AOC FOOD MART 17</t>
        </is>
      </c>
      <c r="D108" s="100" t="n">
        <v>3.99</v>
      </c>
      <c r="E108" s="104">
        <f>IF($C108="","",IFERROR(LOOKUP(2,1/((ISNUMBER(SEARCH('Category Rules'!$B$6:$B$125,$C108)))*('Category Rules'!$B$6:$B$125&lt;&gt;"")),'Category Rules'!$C$6:$C$125),"Uncategorized"))</f>
        <v/>
      </c>
      <c r="F108" s="108" t="n"/>
      <c r="G108" s="106">
        <f>IF($C108="","",IF($F108&lt;&gt;"",$F108,$E108))</f>
        <v/>
      </c>
      <c r="H108" s="82">
        <f>IF($B108="","",TEXT($B108,"mmm yyyy"))</f>
        <v/>
      </c>
    </row>
    <row r="109" ht="18" customHeight="1">
      <c r="A109" s="14" t="n"/>
      <c r="B109" s="98" t="inlineStr">
        <is>
          <t>2026-01-23</t>
        </is>
      </c>
      <c r="C109" s="99" t="inlineStr">
        <is>
          <t>STATE FARM INSURANCE</t>
        </is>
      </c>
      <c r="D109" s="100" t="n">
        <v>189.92</v>
      </c>
      <c r="E109" s="101">
        <f>IF($C109="","",IFERROR(LOOKUP(2,1/((ISNUMBER(SEARCH('Category Rules'!$B$6:$B$125,$C109)))*('Category Rules'!$B$6:$B$125&lt;&gt;"")),'Category Rules'!$C$6:$C$125),"Uncategorized"))</f>
        <v/>
      </c>
      <c r="F109" s="108" t="n"/>
      <c r="G109" s="103">
        <f>IF($C109="","",IF($F109&lt;&gt;"",$F109,$E109))</f>
        <v/>
      </c>
      <c r="H109" s="85">
        <f>IF($B109="","",TEXT($B109,"mmm yyyy"))</f>
        <v/>
      </c>
    </row>
    <row r="110" ht="18" customHeight="1">
      <c r="A110" s="10" t="n"/>
      <c r="B110" s="98" t="inlineStr">
        <is>
          <t>2026-01-23</t>
        </is>
      </c>
      <c r="C110" s="99" t="inlineStr">
        <is>
          <t>STATE FARM INSURANCE</t>
        </is>
      </c>
      <c r="D110" s="100" t="n">
        <v>79.36</v>
      </c>
      <c r="E110" s="104">
        <f>IF($C110="","",IFERROR(LOOKUP(2,1/((ISNUMBER(SEARCH('Category Rules'!$B$6:$B$125,$C110)))*('Category Rules'!$B$6:$B$125&lt;&gt;"")),'Category Rules'!$C$6:$C$125),"Uncategorized"))</f>
        <v/>
      </c>
      <c r="F110" s="108" t="n"/>
      <c r="G110" s="106">
        <f>IF($C110="","",IF($F110&lt;&gt;"",$F110,$E110))</f>
        <v/>
      </c>
      <c r="H110" s="82">
        <f>IF($B110="","",TEXT($B110,"mmm yyyy"))</f>
        <v/>
      </c>
    </row>
    <row r="111" ht="18" customHeight="1">
      <c r="A111" s="14" t="n"/>
      <c r="B111" s="98" t="inlineStr">
        <is>
          <t>2026-01-23</t>
        </is>
      </c>
      <c r="C111" s="99" t="inlineStr">
        <is>
          <t>JACK'S #200</t>
        </is>
      </c>
      <c r="D111" s="100" t="n">
        <v>10</v>
      </c>
      <c r="E111" s="101">
        <f>IF($C111="","",IFERROR(LOOKUP(2,1/((ISNUMBER(SEARCH('Category Rules'!$B$6:$B$125,$C111)))*('Category Rules'!$B$6:$B$125&lt;&gt;"")),'Category Rules'!$C$6:$C$125),"Uncategorized"))</f>
        <v/>
      </c>
      <c r="F111" s="108" t="n"/>
      <c r="G111" s="103">
        <f>IF($C111="","",IF($F111&lt;&gt;"",$F111,$E111))</f>
        <v/>
      </c>
      <c r="H111" s="85">
        <f>IF($B111="","",TEXT($B111,"mmm yyyy"))</f>
        <v/>
      </c>
    </row>
    <row r="112" ht="18" customHeight="1">
      <c r="A112" s="10" t="n"/>
      <c r="B112" s="98" t="inlineStr">
        <is>
          <t>2026-01-23</t>
        </is>
      </c>
      <c r="C112" s="99" t="inlineStr">
        <is>
          <t>WHATABURGER 1492</t>
        </is>
      </c>
      <c r="D112" s="100" t="n">
        <v>15.5</v>
      </c>
      <c r="E112" s="104">
        <f>IF($C112="","",IFERROR(LOOKUP(2,1/((ISNUMBER(SEARCH('Category Rules'!$B$6:$B$125,$C112)))*('Category Rules'!$B$6:$B$125&lt;&gt;"")),'Category Rules'!$C$6:$C$125),"Uncategorized"))</f>
        <v/>
      </c>
      <c r="F112" s="108" t="n"/>
      <c r="G112" s="106">
        <f>IF($C112="","",IF($F112&lt;&gt;"",$F112,$E112))</f>
        <v/>
      </c>
      <c r="H112" s="82">
        <f>IF($B112="","",TEXT($B112,"mmm yyyy"))</f>
        <v/>
      </c>
    </row>
    <row r="113" ht="18" customHeight="1">
      <c r="A113" s="14" t="n"/>
      <c r="B113" s="98" t="inlineStr">
        <is>
          <t>2026-01-24</t>
        </is>
      </c>
      <c r="C113" s="99" t="inlineStr">
        <is>
          <t>W M GROCERY</t>
        </is>
      </c>
      <c r="D113" s="100" t="n">
        <v>1.38</v>
      </c>
      <c r="E113" s="101">
        <f>IF($C113="","",IFERROR(LOOKUP(2,1/((ISNUMBER(SEARCH('Category Rules'!$B$6:$B$125,$C113)))*('Category Rules'!$B$6:$B$125&lt;&gt;"")),'Category Rules'!$C$6:$C$125),"Uncategorized"))</f>
        <v/>
      </c>
      <c r="F113" s="108" t="n"/>
      <c r="G113" s="103">
        <f>IF($C113="","",IF($F113&lt;&gt;"",$F113,$E113))</f>
        <v/>
      </c>
      <c r="H113" s="85">
        <f>IF($B113="","",TEXT($B113,"mmm yyyy"))</f>
        <v/>
      </c>
    </row>
    <row r="114" ht="18" customHeight="1">
      <c r="A114" s="10" t="n"/>
      <c r="B114" s="98" t="inlineStr">
        <is>
          <t>2026-01-24</t>
        </is>
      </c>
      <c r="C114" s="99" t="inlineStr">
        <is>
          <t>W. M. GROCERY</t>
        </is>
      </c>
      <c r="D114" s="100" t="n">
        <v>4.09</v>
      </c>
      <c r="E114" s="104">
        <f>IF($C114="","",IFERROR(LOOKUP(2,1/((ISNUMBER(SEARCH('Category Rules'!$B$6:$B$125,$C114)))*('Category Rules'!$B$6:$B$125&lt;&gt;"")),'Category Rules'!$C$6:$C$125),"Uncategorized"))</f>
        <v/>
      </c>
      <c r="F114" s="108" t="n"/>
      <c r="G114" s="106">
        <f>IF($C114="","",IF($F114&lt;&gt;"",$F114,$E114))</f>
        <v/>
      </c>
      <c r="H114" s="82">
        <f>IF($B114="","",TEXT($B114,"mmm yyyy"))</f>
        <v/>
      </c>
    </row>
    <row r="115" ht="18" customHeight="1">
      <c r="A115" s="14" t="n"/>
      <c r="B115" s="98" t="inlineStr">
        <is>
          <t>2026-01-24</t>
        </is>
      </c>
      <c r="C115" s="99" t="inlineStr">
        <is>
          <t>TST* BROTHERS BAR - NE</t>
        </is>
      </c>
      <c r="D115" s="100" t="n">
        <v>10</v>
      </c>
      <c r="E115" s="101">
        <f>IF($C115="","",IFERROR(LOOKUP(2,1/((ISNUMBER(SEARCH('Category Rules'!$B$6:$B$125,$C115)))*('Category Rules'!$B$6:$B$125&lt;&gt;"")),'Category Rules'!$C$6:$C$125),"Uncategorized"))</f>
        <v/>
      </c>
      <c r="F115" s="108" t="n"/>
      <c r="G115" s="103">
        <f>IF($C115="","",IF($F115&lt;&gt;"",$F115,$E115))</f>
        <v/>
      </c>
      <c r="H115" s="85">
        <f>IF($B115="","",TEXT($B115,"mmm yyyy"))</f>
        <v/>
      </c>
    </row>
    <row r="116" ht="18" customHeight="1">
      <c r="A116" s="10" t="n"/>
      <c r="B116" s="98" t="inlineStr">
        <is>
          <t>2026-01-24</t>
        </is>
      </c>
      <c r="C116" s="99" t="inlineStr">
        <is>
          <t>TST* BROTHERS BAR - NE</t>
        </is>
      </c>
      <c r="D116" s="100" t="n">
        <v>3.3</v>
      </c>
      <c r="E116" s="104">
        <f>IF($C116="","",IFERROR(LOOKUP(2,1/((ISNUMBER(SEARCH('Category Rules'!$B$6:$B$125,$C116)))*('Category Rules'!$B$6:$B$125&lt;&gt;"")),'Category Rules'!$C$6:$C$125),"Uncategorized"))</f>
        <v/>
      </c>
      <c r="F116" s="108" t="n"/>
      <c r="G116" s="106">
        <f>IF($C116="","",IF($F116&lt;&gt;"",$F116,$E116))</f>
        <v/>
      </c>
      <c r="H116" s="82">
        <f>IF($B116="","",TEXT($B116,"mmm yyyy"))</f>
        <v/>
      </c>
    </row>
    <row r="117" ht="18" customHeight="1">
      <c r="A117" s="14" t="n"/>
      <c r="B117" s="98" t="inlineStr">
        <is>
          <t>2026-01-24</t>
        </is>
      </c>
      <c r="C117" s="99" t="inlineStr">
        <is>
          <t>TST* BROTHERS BAR - NE</t>
        </is>
      </c>
      <c r="D117" s="100" t="n">
        <v>4.2</v>
      </c>
      <c r="E117" s="101">
        <f>IF($C117="","",IFERROR(LOOKUP(2,1/((ISNUMBER(SEARCH('Category Rules'!$B$6:$B$125,$C117)))*('Category Rules'!$B$6:$B$125&lt;&gt;"")),'Category Rules'!$C$6:$C$125),"Uncategorized"))</f>
        <v/>
      </c>
      <c r="F117" s="108" t="n"/>
      <c r="G117" s="103">
        <f>IF($C117="","",IF($F117&lt;&gt;"",$F117,$E117))</f>
        <v/>
      </c>
      <c r="H117" s="85">
        <f>IF($B117="","",TEXT($B117,"mmm yyyy"))</f>
        <v/>
      </c>
    </row>
    <row r="118" ht="18" customHeight="1">
      <c r="A118" s="10" t="n"/>
      <c r="B118" s="98" t="inlineStr">
        <is>
          <t>2026-01-24</t>
        </is>
      </c>
      <c r="C118" s="99" t="inlineStr">
        <is>
          <t>TST* BROTHERS BAR - NE</t>
        </is>
      </c>
      <c r="D118" s="100" t="n">
        <v>3.3</v>
      </c>
      <c r="E118" s="104">
        <f>IF($C118="","",IFERROR(LOOKUP(2,1/((ISNUMBER(SEARCH('Category Rules'!$B$6:$B$125,$C118)))*('Category Rules'!$B$6:$B$125&lt;&gt;"")),'Category Rules'!$C$6:$C$125),"Uncategorized"))</f>
        <v/>
      </c>
      <c r="F118" s="108" t="n"/>
      <c r="G118" s="106">
        <f>IF($C118="","",IF($F118&lt;&gt;"",$F118,$E118))</f>
        <v/>
      </c>
      <c r="H118" s="82">
        <f>IF($B118="","",TEXT($B118,"mmm yyyy"))</f>
        <v/>
      </c>
    </row>
    <row r="119" ht="18" customHeight="1">
      <c r="A119" s="14" t="n"/>
      <c r="B119" s="98" t="inlineStr">
        <is>
          <t>2026-01-24</t>
        </is>
      </c>
      <c r="C119" s="99" t="inlineStr">
        <is>
          <t>TST* BROTHERS BAR - NE</t>
        </is>
      </c>
      <c r="D119" s="100" t="n">
        <v>6.6</v>
      </c>
      <c r="E119" s="101">
        <f>IF($C119="","",IFERROR(LOOKUP(2,1/((ISNUMBER(SEARCH('Category Rules'!$B$6:$B$125,$C119)))*('Category Rules'!$B$6:$B$125&lt;&gt;"")),'Category Rules'!$C$6:$C$125),"Uncategorized"))</f>
        <v/>
      </c>
      <c r="F119" s="108" t="n"/>
      <c r="G119" s="103">
        <f>IF($C119="","",IF($F119&lt;&gt;"",$F119,$E119))</f>
        <v/>
      </c>
      <c r="H119" s="85">
        <f>IF($B119="","",TEXT($B119,"mmm yyyy"))</f>
        <v/>
      </c>
    </row>
    <row r="120" ht="18" customHeight="1">
      <c r="A120" s="10" t="n"/>
      <c r="B120" s="98" t="inlineStr">
        <is>
          <t>2026-01-24</t>
        </is>
      </c>
      <c r="C120" s="99" t="inlineStr">
        <is>
          <t>TST* BROTHERS BAR - NE</t>
        </is>
      </c>
      <c r="D120" s="100" t="n">
        <v>9.880000000000001</v>
      </c>
      <c r="E120" s="104">
        <f>IF($C120="","",IFERROR(LOOKUP(2,1/((ISNUMBER(SEARCH('Category Rules'!$B$6:$B$125,$C120)))*('Category Rules'!$B$6:$B$125&lt;&gt;"")),'Category Rules'!$C$6:$C$125),"Uncategorized"))</f>
        <v/>
      </c>
      <c r="F120" s="108" t="n"/>
      <c r="G120" s="106">
        <f>IF($C120="","",IF($F120&lt;&gt;"",$F120,$E120))</f>
        <v/>
      </c>
      <c r="H120" s="82">
        <f>IF($B120="","",TEXT($B120,"mmm yyyy"))</f>
        <v/>
      </c>
    </row>
    <row r="121" ht="18" customHeight="1">
      <c r="A121" s="14" t="n"/>
      <c r="B121" s="98" t="inlineStr">
        <is>
          <t>2026-01-24</t>
        </is>
      </c>
      <c r="C121" s="99" t="inlineStr">
        <is>
          <t>TST* BROTHERS BAR - NE</t>
        </is>
      </c>
      <c r="D121" s="100" t="n">
        <v>3.3</v>
      </c>
      <c r="E121" s="101">
        <f>IF($C121="","",IFERROR(LOOKUP(2,1/((ISNUMBER(SEARCH('Category Rules'!$B$6:$B$125,$C121)))*('Category Rules'!$B$6:$B$125&lt;&gt;"")),'Category Rules'!$C$6:$C$125),"Uncategorized"))</f>
        <v/>
      </c>
      <c r="F121" s="108" t="n"/>
      <c r="G121" s="103">
        <f>IF($C121="","",IF($F121&lt;&gt;"",$F121,$E121))</f>
        <v/>
      </c>
      <c r="H121" s="85">
        <f>IF($B121="","",TEXT($B121,"mmm yyyy"))</f>
        <v/>
      </c>
    </row>
    <row r="122" ht="18" customHeight="1">
      <c r="A122" s="10" t="n"/>
      <c r="B122" s="98" t="inlineStr">
        <is>
          <t>2026-01-24</t>
        </is>
      </c>
      <c r="C122" s="99" t="inlineStr">
        <is>
          <t>TST* BROTHERS BAR - NE</t>
        </is>
      </c>
      <c r="D122" s="100" t="n">
        <v>3.3</v>
      </c>
      <c r="E122" s="104">
        <f>IF($C122="","",IFERROR(LOOKUP(2,1/((ISNUMBER(SEARCH('Category Rules'!$B$6:$B$125,$C122)))*('Category Rules'!$B$6:$B$125&lt;&gt;"")),'Category Rules'!$C$6:$C$125),"Uncategorized"))</f>
        <v/>
      </c>
      <c r="F122" s="108" t="n"/>
      <c r="G122" s="106">
        <f>IF($C122="","",IF($F122&lt;&gt;"",$F122,$E122))</f>
        <v/>
      </c>
      <c r="H122" s="82">
        <f>IF($B122="","",TEXT($B122,"mmm yyyy"))</f>
        <v/>
      </c>
    </row>
    <row r="123" ht="18" customHeight="1">
      <c r="A123" s="14" t="n"/>
      <c r="B123" s="98" t="inlineStr">
        <is>
          <t>2026-01-24</t>
        </is>
      </c>
      <c r="C123" s="99" t="inlineStr">
        <is>
          <t>CHICK-FIL-A #04457</t>
        </is>
      </c>
      <c r="D123" s="100" t="n">
        <v>22.54</v>
      </c>
      <c r="E123" s="101">
        <f>IF($C123="","",IFERROR(LOOKUP(2,1/((ISNUMBER(SEARCH('Category Rules'!$B$6:$B$125,$C123)))*('Category Rules'!$B$6:$B$125&lt;&gt;"")),'Category Rules'!$C$6:$C$125),"Uncategorized"))</f>
        <v/>
      </c>
      <c r="F123" s="108" t="n"/>
      <c r="G123" s="103">
        <f>IF($C123="","",IF($F123&lt;&gt;"",$F123,$E123))</f>
        <v/>
      </c>
      <c r="H123" s="85">
        <f>IF($B123="","",TEXT($B123,"mmm yyyy"))</f>
        <v/>
      </c>
    </row>
    <row r="124" ht="18" customHeight="1">
      <c r="A124" s="10" t="n"/>
      <c r="B124" s="98" t="inlineStr">
        <is>
          <t>2026-01-24</t>
        </is>
      </c>
      <c r="C124" s="99" t="inlineStr">
        <is>
          <t>TST* ROCK N ROOSTER SA</t>
        </is>
      </c>
      <c r="D124" s="100" t="n">
        <v>10.62</v>
      </c>
      <c r="E124" s="104">
        <f>IF($C124="","",IFERROR(LOOKUP(2,1/((ISNUMBER(SEARCH('Category Rules'!$B$6:$B$125,$C124)))*('Category Rules'!$B$6:$B$125&lt;&gt;"")),'Category Rules'!$C$6:$C$125),"Uncategorized"))</f>
        <v/>
      </c>
      <c r="F124" s="108" t="n"/>
      <c r="G124" s="106">
        <f>IF($C124="","",IF($F124&lt;&gt;"",$F124,$E124))</f>
        <v/>
      </c>
      <c r="H124" s="82">
        <f>IF($B124="","",TEXT($B124,"mmm yyyy"))</f>
        <v/>
      </c>
    </row>
    <row r="125" ht="18" customHeight="1">
      <c r="A125" s="14" t="n"/>
      <c r="B125" s="98" t="inlineStr">
        <is>
          <t>2026-01-24</t>
        </is>
      </c>
      <c r="C125" s="99" t="inlineStr">
        <is>
          <t>TST*SISTERS</t>
        </is>
      </c>
      <c r="D125" s="100" t="n">
        <v>31.16</v>
      </c>
      <c r="E125" s="101">
        <f>IF($C125="","",IFERROR(LOOKUP(2,1/((ISNUMBER(SEARCH('Category Rules'!$B$6:$B$125,$C125)))*('Category Rules'!$B$6:$B$125&lt;&gt;"")),'Category Rules'!$C$6:$C$125),"Uncategorized"))</f>
        <v/>
      </c>
      <c r="F125" s="108" t="n"/>
      <c r="G125" s="103">
        <f>IF($C125="","",IF($F125&lt;&gt;"",$F125,$E125))</f>
        <v/>
      </c>
      <c r="H125" s="85">
        <f>IF($B125="","",TEXT($B125,"mmm yyyy"))</f>
        <v/>
      </c>
    </row>
    <row r="126" ht="18" customHeight="1">
      <c r="A126" s="10" t="n"/>
      <c r="B126" s="98" t="inlineStr">
        <is>
          <t>2026-01-24</t>
        </is>
      </c>
      <c r="C126" s="99" t="inlineStr">
        <is>
          <t>ORACL*Waffle House 160</t>
        </is>
      </c>
      <c r="D126" s="100" t="n">
        <v>14</v>
      </c>
      <c r="E126" s="104">
        <f>IF($C126="","",IFERROR(LOOKUP(2,1/((ISNUMBER(SEARCH('Category Rules'!$B$6:$B$125,$C126)))*('Category Rules'!$B$6:$B$125&lt;&gt;"")),'Category Rules'!$C$6:$C$125),"Uncategorized"))</f>
        <v/>
      </c>
      <c r="F126" s="108" t="n"/>
      <c r="G126" s="106">
        <f>IF($C126="","",IF($F126&lt;&gt;"",$F126,$E126))</f>
        <v/>
      </c>
      <c r="H126" s="82">
        <f>IF($B126="","",TEXT($B126,"mmm yyyy"))</f>
        <v/>
      </c>
    </row>
    <row r="127" ht="18" customHeight="1">
      <c r="A127" s="14" t="n"/>
      <c r="B127" s="98" t="inlineStr">
        <is>
          <t>2026-01-25</t>
        </is>
      </c>
      <c r="C127" s="99" t="inlineStr">
        <is>
          <t>PIC'N SAVE #248</t>
        </is>
      </c>
      <c r="D127" s="100" t="n">
        <v>4.71</v>
      </c>
      <c r="E127" s="101">
        <f>IF($C127="","",IFERROR(LOOKUP(2,1/((ISNUMBER(SEARCH('Category Rules'!$B$6:$B$125,$C127)))*('Category Rules'!$B$6:$B$125&lt;&gt;"")),'Category Rules'!$C$6:$C$125),"Uncategorized"))</f>
        <v/>
      </c>
      <c r="F127" s="108" t="n"/>
      <c r="G127" s="103">
        <f>IF($C127="","",IF($F127&lt;&gt;"",$F127,$E127))</f>
        <v/>
      </c>
      <c r="H127" s="85">
        <f>IF($B127="","",TEXT($B127,"mmm yyyy"))</f>
        <v/>
      </c>
    </row>
    <row r="128" ht="18" customHeight="1">
      <c r="A128" s="10" t="n"/>
      <c r="B128" s="98" t="inlineStr">
        <is>
          <t>2026-01-25</t>
        </is>
      </c>
      <c r="C128" s="99" t="inlineStr">
        <is>
          <t>PIC'N SAVE #248</t>
        </is>
      </c>
      <c r="D128" s="100" t="n">
        <v>2.51</v>
      </c>
      <c r="E128" s="104">
        <f>IF($C128="","",IFERROR(LOOKUP(2,1/((ISNUMBER(SEARCH('Category Rules'!$B$6:$B$125,$C128)))*('Category Rules'!$B$6:$B$125&lt;&gt;"")),'Category Rules'!$C$6:$C$125),"Uncategorized"))</f>
        <v/>
      </c>
      <c r="F128" s="108" t="n"/>
      <c r="G128" s="106">
        <f>IF($C128="","",IF($F128&lt;&gt;"",$F128,$E128))</f>
        <v/>
      </c>
      <c r="H128" s="82">
        <f>IF($B128="","",TEXT($B128,"mmm yyyy"))</f>
        <v/>
      </c>
    </row>
    <row r="129" ht="18" customHeight="1">
      <c r="A129" s="14" t="n"/>
      <c r="B129" s="98" t="inlineStr">
        <is>
          <t>2026-01-25</t>
        </is>
      </c>
      <c r="C129" s="99" t="inlineStr">
        <is>
          <t>TST* ROCK N ROOSTER SA</t>
        </is>
      </c>
      <c r="D129" s="100" t="n">
        <v>4.2</v>
      </c>
      <c r="E129" s="101">
        <f>IF($C129="","",IFERROR(LOOKUP(2,1/((ISNUMBER(SEARCH('Category Rules'!$B$6:$B$125,$C129)))*('Category Rules'!$B$6:$B$125&lt;&gt;"")),'Category Rules'!$C$6:$C$125),"Uncategorized"))</f>
        <v/>
      </c>
      <c r="F129" s="108" t="n"/>
      <c r="G129" s="103">
        <f>IF($C129="","",IF($F129&lt;&gt;"",$F129,$E129))</f>
        <v/>
      </c>
      <c r="H129" s="85">
        <f>IF($B129="","",TEXT($B129,"mmm yyyy"))</f>
        <v/>
      </c>
    </row>
    <row r="130" ht="18" customHeight="1">
      <c r="A130" s="10" t="n"/>
      <c r="B130" s="98" t="inlineStr">
        <is>
          <t>2026-01-25</t>
        </is>
      </c>
      <c r="C130" s="99" t="inlineStr">
        <is>
          <t>TST*WIGGLYS JACKSONVIL</t>
        </is>
      </c>
      <c r="D130" s="100" t="n">
        <v>5.4</v>
      </c>
      <c r="E130" s="104">
        <f>IF($C130="","",IFERROR(LOOKUP(2,1/((ISNUMBER(SEARCH('Category Rules'!$B$6:$B$125,$C130)))*('Category Rules'!$B$6:$B$125&lt;&gt;"")),'Category Rules'!$C$6:$C$125),"Uncategorized"))</f>
        <v/>
      </c>
      <c r="F130" s="108" t="n"/>
      <c r="G130" s="106">
        <f>IF($C130="","",IF($F130&lt;&gt;"",$F130,$E130))</f>
        <v/>
      </c>
      <c r="H130" s="82">
        <f>IF($B130="","",TEXT($B130,"mmm yyyy"))</f>
        <v/>
      </c>
    </row>
    <row r="131" ht="18" customHeight="1">
      <c r="A131" s="14" t="n"/>
      <c r="B131" s="98" t="inlineStr">
        <is>
          <t>2026-01-26</t>
        </is>
      </c>
      <c r="C131" s="99" t="inlineStr">
        <is>
          <t>PIC'N SAVE #248</t>
        </is>
      </c>
      <c r="D131" s="100" t="n">
        <v>12.68</v>
      </c>
      <c r="E131" s="101">
        <f>IF($C131="","",IFERROR(LOOKUP(2,1/((ISNUMBER(SEARCH('Category Rules'!$B$6:$B$125,$C131)))*('Category Rules'!$B$6:$B$125&lt;&gt;"")),'Category Rules'!$C$6:$C$125),"Uncategorized"))</f>
        <v/>
      </c>
      <c r="F131" s="108" t="n"/>
      <c r="G131" s="103">
        <f>IF($C131="","",IF($F131&lt;&gt;"",$F131,$E131))</f>
        <v/>
      </c>
      <c r="H131" s="85">
        <f>IF($B131="","",TEXT($B131,"mmm yyyy"))</f>
        <v/>
      </c>
    </row>
    <row r="132" ht="18" customHeight="1">
      <c r="A132" s="10" t="n"/>
      <c r="B132" s="98" t="inlineStr">
        <is>
          <t>2026-01-26</t>
        </is>
      </c>
      <c r="C132" s="99" t="inlineStr">
        <is>
          <t>ZAXBY'S #34001</t>
        </is>
      </c>
      <c r="D132" s="100" t="n">
        <v>12.67</v>
      </c>
      <c r="E132" s="104">
        <f>IF($C132="","",IFERROR(LOOKUP(2,1/((ISNUMBER(SEARCH('Category Rules'!$B$6:$B$125,$C132)))*('Category Rules'!$B$6:$B$125&lt;&gt;"")),'Category Rules'!$C$6:$C$125),"Uncategorized"))</f>
        <v/>
      </c>
      <c r="F132" s="108" t="n"/>
      <c r="G132" s="106">
        <f>IF($C132="","",IF($F132&lt;&gt;"",$F132,$E132))</f>
        <v/>
      </c>
      <c r="H132" s="82">
        <f>IF($B132="","",TEXT($B132,"mmm yyyy"))</f>
        <v/>
      </c>
    </row>
    <row r="133" ht="18" customHeight="1">
      <c r="A133" s="14" t="n"/>
      <c r="B133" s="98" t="inlineStr">
        <is>
          <t>2026-01-26</t>
        </is>
      </c>
      <c r="C133" s="99" t="inlineStr">
        <is>
          <t>APPLE.COM/BILL</t>
        </is>
      </c>
      <c r="D133" s="100" t="n">
        <v>0.99</v>
      </c>
      <c r="E133" s="101">
        <f>IF($C133="","",IFERROR(LOOKUP(2,1/((ISNUMBER(SEARCH('Category Rules'!$B$6:$B$125,$C133)))*('Category Rules'!$B$6:$B$125&lt;&gt;"")),'Category Rules'!$C$6:$C$125),"Uncategorized"))</f>
        <v/>
      </c>
      <c r="F133" s="108" t="n"/>
      <c r="G133" s="103">
        <f>IF($C133="","",IF($F133&lt;&gt;"",$F133,$E133))</f>
        <v/>
      </c>
      <c r="H133" s="85">
        <f>IF($B133="","",TEXT($B133,"mmm yyyy"))</f>
        <v/>
      </c>
    </row>
    <row r="134" ht="18" customHeight="1">
      <c r="A134" s="10" t="n"/>
      <c r="B134" s="98" t="inlineStr">
        <is>
          <t>2026-01-26</t>
        </is>
      </c>
      <c r="C134" s="99" t="inlineStr">
        <is>
          <t>JACK'S #154 LENLOCK</t>
        </is>
      </c>
      <c r="D134" s="100" t="n">
        <v>9.220000000000001</v>
      </c>
      <c r="E134" s="104">
        <f>IF($C134="","",IFERROR(LOOKUP(2,1/((ISNUMBER(SEARCH('Category Rules'!$B$6:$B$125,$C134)))*('Category Rules'!$B$6:$B$125&lt;&gt;"")),'Category Rules'!$C$6:$C$125),"Uncategorized"))</f>
        <v/>
      </c>
      <c r="F134" s="108" t="n"/>
      <c r="G134" s="106">
        <f>IF($C134="","",IF($F134&lt;&gt;"",$F134,$E134))</f>
        <v/>
      </c>
      <c r="H134" s="82">
        <f>IF($B134="","",TEXT($B134,"mmm yyyy"))</f>
        <v/>
      </c>
    </row>
    <row r="135" ht="18" customHeight="1">
      <c r="A135" s="14" t="n"/>
      <c r="B135" s="98" t="inlineStr">
        <is>
          <t>2026-01-26</t>
        </is>
      </c>
      <c r="C135" s="99" t="inlineStr">
        <is>
          <t>ANC*ANCESTRY.COM</t>
        </is>
      </c>
      <c r="D135" s="100" t="n">
        <v>10</v>
      </c>
      <c r="E135" s="101">
        <f>IF($C135="","",IFERROR(LOOKUP(2,1/((ISNUMBER(SEARCH('Category Rules'!$B$6:$B$125,$C135)))*('Category Rules'!$B$6:$B$125&lt;&gt;"")),'Category Rules'!$C$6:$C$125),"Uncategorized"))</f>
        <v/>
      </c>
      <c r="F135" s="108" t="n"/>
      <c r="G135" s="103">
        <f>IF($C135="","",IF($F135&lt;&gt;"",$F135,$E135))</f>
        <v/>
      </c>
      <c r="H135" s="85">
        <f>IF($B135="","",TEXT($B135,"mmm yyyy"))</f>
        <v/>
      </c>
    </row>
    <row r="136" ht="18" customHeight="1">
      <c r="A136" s="10" t="n"/>
      <c r="B136" s="98" t="inlineStr">
        <is>
          <t>2026-01-27</t>
        </is>
      </c>
      <c r="C136" s="99" t="inlineStr">
        <is>
          <t>WAL-MART #0300</t>
        </is>
      </c>
      <c r="D136" s="100" t="n">
        <v>123</v>
      </c>
      <c r="E136" s="104">
        <f>IF($C136="","",IFERROR(LOOKUP(2,1/((ISNUMBER(SEARCH('Category Rules'!$B$6:$B$125,$C136)))*('Category Rules'!$B$6:$B$125&lt;&gt;"")),'Category Rules'!$C$6:$C$125),"Uncategorized"))</f>
        <v/>
      </c>
      <c r="F136" s="108" t="n"/>
      <c r="G136" s="106">
        <f>IF($C136="","",IF($F136&lt;&gt;"",$F136,$E136))</f>
        <v/>
      </c>
      <c r="H136" s="82">
        <f>IF($B136="","",TEXT($B136,"mmm yyyy"))</f>
        <v/>
      </c>
    </row>
    <row r="137" ht="18" customHeight="1">
      <c r="A137" s="14" t="n"/>
      <c r="B137" s="98" t="inlineStr">
        <is>
          <t>2026-01-27</t>
        </is>
      </c>
      <c r="C137" s="99" t="inlineStr">
        <is>
          <t>W. M. GROCERY</t>
        </is>
      </c>
      <c r="D137" s="100" t="n">
        <v>2.47</v>
      </c>
      <c r="E137" s="101">
        <f>IF($C137="","",IFERROR(LOOKUP(2,1/((ISNUMBER(SEARCH('Category Rules'!$B$6:$B$125,$C137)))*('Category Rules'!$B$6:$B$125&lt;&gt;"")),'Category Rules'!$C$6:$C$125),"Uncategorized"))</f>
        <v/>
      </c>
      <c r="F137" s="108" t="n"/>
      <c r="G137" s="103">
        <f>IF($C137="","",IF($F137&lt;&gt;"",$F137,$E137))</f>
        <v/>
      </c>
      <c r="H137" s="85">
        <f>IF($B137="","",TEXT($B137,"mmm yyyy"))</f>
        <v/>
      </c>
    </row>
    <row r="138" ht="18" customHeight="1">
      <c r="A138" s="10" t="n"/>
      <c r="B138" s="98" t="inlineStr">
        <is>
          <t>2026-01-27</t>
        </is>
      </c>
      <c r="C138" s="99" t="inlineStr">
        <is>
          <t>CHEVRON 0358571</t>
        </is>
      </c>
      <c r="D138" s="100" t="n">
        <v>58.28</v>
      </c>
      <c r="E138" s="104">
        <f>IF($C138="","",IFERROR(LOOKUP(2,1/((ISNUMBER(SEARCH('Category Rules'!$B$6:$B$125,$C138)))*('Category Rules'!$B$6:$B$125&lt;&gt;"")),'Category Rules'!$C$6:$C$125),"Uncategorized"))</f>
        <v/>
      </c>
      <c r="F138" s="108" t="n"/>
      <c r="G138" s="106">
        <f>IF($C138="","",IF($F138&lt;&gt;"",$F138,$E138))</f>
        <v/>
      </c>
      <c r="H138" s="82">
        <f>IF($B138="","",TEXT($B138,"mmm yyyy"))</f>
        <v/>
      </c>
    </row>
    <row r="139" ht="18" customHeight="1">
      <c r="A139" s="14" t="n"/>
      <c r="B139" s="98" t="inlineStr">
        <is>
          <t>2026-01-27</t>
        </is>
      </c>
      <c r="C139" s="99" t="inlineStr">
        <is>
          <t>PIC'N SAVE #248</t>
        </is>
      </c>
      <c r="D139" s="100" t="n">
        <v>2.51</v>
      </c>
      <c r="E139" s="101">
        <f>IF($C139="","",IFERROR(LOOKUP(2,1/((ISNUMBER(SEARCH('Category Rules'!$B$6:$B$125,$C139)))*('Category Rules'!$B$6:$B$125&lt;&gt;"")),'Category Rules'!$C$6:$C$125),"Uncategorized"))</f>
        <v/>
      </c>
      <c r="F139" s="108" t="n"/>
      <c r="G139" s="103">
        <f>IF($C139="","",IF($F139&lt;&gt;"",$F139,$E139))</f>
        <v/>
      </c>
      <c r="H139" s="85">
        <f>IF($B139="","",TEXT($B139,"mmm yyyy"))</f>
        <v/>
      </c>
    </row>
    <row r="140" ht="18" customHeight="1">
      <c r="A140" s="10" t="n"/>
      <c r="B140" s="98" t="inlineStr">
        <is>
          <t>2026-01-27</t>
        </is>
      </c>
      <c r="C140" s="99" t="inlineStr">
        <is>
          <t>Bojangles 0914</t>
        </is>
      </c>
      <c r="D140" s="100" t="n">
        <v>8.130000000000001</v>
      </c>
      <c r="E140" s="104">
        <f>IF($C140="","",IFERROR(LOOKUP(2,1/((ISNUMBER(SEARCH('Category Rules'!$B$6:$B$125,$C140)))*('Category Rules'!$B$6:$B$125&lt;&gt;"")),'Category Rules'!$C$6:$C$125),"Uncategorized"))</f>
        <v/>
      </c>
      <c r="F140" s="108" t="n"/>
      <c r="G140" s="106">
        <f>IF($C140="","",IF($F140&lt;&gt;"",$F140,$E140))</f>
        <v/>
      </c>
      <c r="H140" s="82">
        <f>IF($B140="","",TEXT($B140,"mmm yyyy"))</f>
        <v/>
      </c>
    </row>
    <row r="141" ht="18" customHeight="1">
      <c r="A141" s="14" t="n"/>
      <c r="B141" s="98" t="inlineStr">
        <is>
          <t>2026-01-27</t>
        </is>
      </c>
      <c r="C141" s="99" t="inlineStr">
        <is>
          <t>JACK'S #156 HEFLIN</t>
        </is>
      </c>
      <c r="D141" s="100" t="n">
        <v>9.029999999999999</v>
      </c>
      <c r="E141" s="101">
        <f>IF($C141="","",IFERROR(LOOKUP(2,1/((ISNUMBER(SEARCH('Category Rules'!$B$6:$B$125,$C141)))*('Category Rules'!$B$6:$B$125&lt;&gt;"")),'Category Rules'!$C$6:$C$125),"Uncategorized"))</f>
        <v/>
      </c>
      <c r="F141" s="108" t="n"/>
      <c r="G141" s="103">
        <f>IF($C141="","",IF($F141&lt;&gt;"",$F141,$E141))</f>
        <v/>
      </c>
      <c r="H141" s="85">
        <f>IF($B141="","",TEXT($B141,"mmm yyyy"))</f>
        <v/>
      </c>
    </row>
    <row r="142" ht="18" customHeight="1">
      <c r="A142" s="10" t="n"/>
      <c r="B142" s="98" t="inlineStr">
        <is>
          <t>2026-01-27</t>
        </is>
      </c>
      <c r="C142" s="99" t="inlineStr">
        <is>
          <t>PIC'N SAVE #248 OXFORD</t>
        </is>
      </c>
      <c r="D142" s="100" t="n">
        <v>4.35</v>
      </c>
      <c r="E142" s="104">
        <f>IF($C142="","",IFERROR(LOOKUP(2,1/((ISNUMBER(SEARCH('Category Rules'!$B$6:$B$125,$C142)))*('Category Rules'!$B$6:$B$125&lt;&gt;"")),'Category Rules'!$C$6:$C$125),"Uncategorized"))</f>
        <v/>
      </c>
      <c r="F142" s="108" t="n"/>
      <c r="G142" s="106">
        <f>IF($C142="","",IF($F142&lt;&gt;"",$F142,$E142))</f>
        <v/>
      </c>
      <c r="H142" s="82">
        <f>IF($B142="","",TEXT($B142,"mmm yyyy"))</f>
        <v/>
      </c>
    </row>
    <row r="143" ht="18" customHeight="1">
      <c r="A143" s="14" t="n"/>
      <c r="B143" s="98" t="inlineStr">
        <is>
          <t>2026-01-27</t>
        </is>
      </c>
      <c r="C143" s="99" t="inlineStr">
        <is>
          <t>JACK'S #200</t>
        </is>
      </c>
      <c r="D143" s="100" t="n">
        <v>10</v>
      </c>
      <c r="E143" s="101">
        <f>IF($C143="","",IFERROR(LOOKUP(2,1/((ISNUMBER(SEARCH('Category Rules'!$B$6:$B$125,$C143)))*('Category Rules'!$B$6:$B$125&lt;&gt;"")),'Category Rules'!$C$6:$C$125),"Uncategorized"))</f>
        <v/>
      </c>
      <c r="F143" s="108" t="n"/>
      <c r="G143" s="103">
        <f>IF($C143="","",IF($F143&lt;&gt;"",$F143,$E143))</f>
        <v/>
      </c>
      <c r="H143" s="85">
        <f>IF($B143="","",TEXT($B143,"mmm yyyy"))</f>
        <v/>
      </c>
    </row>
    <row r="144" ht="18" customHeight="1">
      <c r="A144" s="10" t="n"/>
      <c r="B144" s="98" t="inlineStr">
        <is>
          <t>2026-01-28</t>
        </is>
      </c>
      <c r="C144" s="99" t="inlineStr">
        <is>
          <t>SITE356853- CHE</t>
        </is>
      </c>
      <c r="D144" s="100" t="n">
        <v>3.88</v>
      </c>
      <c r="E144" s="104">
        <f>IF($C144="","",IFERROR(LOOKUP(2,1/((ISNUMBER(SEARCH('Category Rules'!$B$6:$B$125,$C144)))*('Category Rules'!$B$6:$B$125&lt;&gt;"")),'Category Rules'!$C$6:$C$125),"Uncategorized"))</f>
        <v/>
      </c>
      <c r="F144" s="108" t="n"/>
      <c r="G144" s="106">
        <f>IF($C144="","",IF($F144&lt;&gt;"",$F144,$E144))</f>
        <v/>
      </c>
      <c r="H144" s="82">
        <f>IF($B144="","",TEXT($B144,"mmm yyyy"))</f>
        <v/>
      </c>
    </row>
    <row r="145" ht="18" customHeight="1">
      <c r="A145" s="14" t="n"/>
      <c r="B145" s="98" t="inlineStr">
        <is>
          <t>2026-01-28</t>
        </is>
      </c>
      <c r="C145" s="99" t="inlineStr">
        <is>
          <t>PIC'N SAVE #248 OXFORD</t>
        </is>
      </c>
      <c r="D145" s="100" t="n">
        <v>7.94</v>
      </c>
      <c r="E145" s="101">
        <f>IF($C145="","",IFERROR(LOOKUP(2,1/((ISNUMBER(SEARCH('Category Rules'!$B$6:$B$125,$C145)))*('Category Rules'!$B$6:$B$125&lt;&gt;"")),'Category Rules'!$C$6:$C$125),"Uncategorized"))</f>
        <v/>
      </c>
      <c r="F145" s="108" t="n"/>
      <c r="G145" s="103">
        <f>IF($C145="","",IF($F145&lt;&gt;"",$F145,$E145))</f>
        <v/>
      </c>
      <c r="H145" s="85">
        <f>IF($B145="","",TEXT($B145,"mmm yyyy"))</f>
        <v/>
      </c>
    </row>
    <row r="146" ht="18" customHeight="1">
      <c r="A146" s="10" t="n"/>
      <c r="B146" s="98" t="inlineStr">
        <is>
          <t>2026-01-28</t>
        </is>
      </c>
      <c r="C146" s="99" t="inlineStr">
        <is>
          <t>Spotify USA</t>
        </is>
      </c>
      <c r="D146" s="100" t="n">
        <v>12.95</v>
      </c>
      <c r="E146" s="104">
        <f>IF($C146="","",IFERROR(LOOKUP(2,1/((ISNUMBER(SEARCH('Category Rules'!$B$6:$B$125,$C146)))*('Category Rules'!$B$6:$B$125&lt;&gt;"")),'Category Rules'!$C$6:$C$125),"Uncategorized"))</f>
        <v/>
      </c>
      <c r="F146" s="108" t="n"/>
      <c r="G146" s="106">
        <f>IF($C146="","",IF($F146&lt;&gt;"",$F146,$E146))</f>
        <v/>
      </c>
      <c r="H146" s="82">
        <f>IF($B146="","",TEXT($B146,"mmm yyyy"))</f>
        <v/>
      </c>
    </row>
    <row r="147" ht="18" customHeight="1">
      <c r="A147" s="14" t="n"/>
      <c r="B147" s="98" t="inlineStr">
        <is>
          <t>2026-01-29</t>
        </is>
      </c>
      <c r="C147" s="99" t="inlineStr">
        <is>
          <t>WAL-MART #0300</t>
        </is>
      </c>
      <c r="D147" s="100" t="n">
        <v>5.72</v>
      </c>
      <c r="E147" s="101">
        <f>IF($C147="","",IFERROR(LOOKUP(2,1/((ISNUMBER(SEARCH('Category Rules'!$B$6:$B$125,$C147)))*('Category Rules'!$B$6:$B$125&lt;&gt;"")),'Category Rules'!$C$6:$C$125),"Uncategorized"))</f>
        <v/>
      </c>
      <c r="F147" s="108" t="n"/>
      <c r="G147" s="103">
        <f>IF($C147="","",IF($F147&lt;&gt;"",$F147,$E147))</f>
        <v/>
      </c>
      <c r="H147" s="85">
        <f>IF($B147="","",TEXT($B147,"mmm yyyy"))</f>
        <v/>
      </c>
    </row>
    <row r="148" ht="18" customHeight="1">
      <c r="A148" s="10" t="n"/>
      <c r="B148" s="98" t="inlineStr">
        <is>
          <t>2026-01-29</t>
        </is>
      </c>
      <c r="C148" s="99" t="inlineStr">
        <is>
          <t>JACK'S #153 OXFORD</t>
        </is>
      </c>
      <c r="D148" s="100" t="n">
        <v>10</v>
      </c>
      <c r="E148" s="104">
        <f>IF($C148="","",IFERROR(LOOKUP(2,1/((ISNUMBER(SEARCH('Category Rules'!$B$6:$B$125,$C148)))*('Category Rules'!$B$6:$B$125&lt;&gt;"")),'Category Rules'!$C$6:$C$125),"Uncategorized"))</f>
        <v/>
      </c>
      <c r="F148" s="108" t="n"/>
      <c r="G148" s="106">
        <f>IF($C148="","",IF($F148&lt;&gt;"",$F148,$E148))</f>
        <v/>
      </c>
      <c r="H148" s="82">
        <f>IF($B148="","",TEXT($B148,"mmm yyyy"))</f>
        <v/>
      </c>
    </row>
    <row r="149" ht="18" customHeight="1">
      <c r="A149" s="14" t="n"/>
      <c r="B149" s="98" t="inlineStr">
        <is>
          <t>2026-01-29</t>
        </is>
      </c>
      <c r="C149" s="99" t="inlineStr">
        <is>
          <t>Bojangles 0914</t>
        </is>
      </c>
      <c r="D149" s="100" t="n">
        <v>8.130000000000001</v>
      </c>
      <c r="E149" s="101">
        <f>IF($C149="","",IFERROR(LOOKUP(2,1/((ISNUMBER(SEARCH('Category Rules'!$B$6:$B$125,$C149)))*('Category Rules'!$B$6:$B$125&lt;&gt;"")),'Category Rules'!$C$6:$C$125),"Uncategorized"))</f>
        <v/>
      </c>
      <c r="F149" s="108" t="n"/>
      <c r="G149" s="103">
        <f>IF($C149="","",IF($F149&lt;&gt;"",$F149,$E149))</f>
        <v/>
      </c>
      <c r="H149" s="85">
        <f>IF($B149="","",TEXT($B149,"mmm yyyy"))</f>
        <v/>
      </c>
    </row>
    <row r="150" ht="18" customHeight="1">
      <c r="A150" s="10" t="n"/>
      <c r="B150" s="98" t="inlineStr">
        <is>
          <t>2026-01-30</t>
        </is>
      </c>
      <c r="C150" s="99" t="inlineStr">
        <is>
          <t>W. M. GROCERY</t>
        </is>
      </c>
      <c r="D150" s="100" t="n">
        <v>1.61</v>
      </c>
      <c r="E150" s="104">
        <f>IF($C150="","",IFERROR(LOOKUP(2,1/((ISNUMBER(SEARCH('Category Rules'!$B$6:$B$125,$C150)))*('Category Rules'!$B$6:$B$125&lt;&gt;"")),'Category Rules'!$C$6:$C$125),"Uncategorized"))</f>
        <v/>
      </c>
      <c r="F150" s="108" t="n"/>
      <c r="G150" s="106">
        <f>IF($C150="","",IF($F150&lt;&gt;"",$F150,$E150))</f>
        <v/>
      </c>
      <c r="H150" s="82">
        <f>IF($B150="","",TEXT($B150,"mmm yyyy"))</f>
        <v/>
      </c>
    </row>
    <row r="151" ht="18" customHeight="1">
      <c r="A151" s="14" t="n"/>
      <c r="B151" s="98" t="inlineStr">
        <is>
          <t>2026-01-30</t>
        </is>
      </c>
      <c r="C151" s="99" t="inlineStr">
        <is>
          <t>SISTERS</t>
        </is>
      </c>
      <c r="D151" s="100" t="n">
        <v>12.17</v>
      </c>
      <c r="E151" s="101">
        <f>IF($C151="","",IFERROR(LOOKUP(2,1/((ISNUMBER(SEARCH('Category Rules'!$B$6:$B$125,$C151)))*('Category Rules'!$B$6:$B$125&lt;&gt;"")),'Category Rules'!$C$6:$C$125),"Uncategorized"))</f>
        <v/>
      </c>
      <c r="F151" s="108" t="n"/>
      <c r="G151" s="103">
        <f>IF($C151="","",IF($F151&lt;&gt;"",$F151,$E151))</f>
        <v/>
      </c>
      <c r="H151" s="85">
        <f>IF($B151="","",TEXT($B151,"mmm yyyy"))</f>
        <v/>
      </c>
    </row>
    <row r="152" ht="18" customHeight="1">
      <c r="A152" s="10" t="n"/>
      <c r="B152" s="98" t="inlineStr">
        <is>
          <t>2026-01-30</t>
        </is>
      </c>
      <c r="C152" s="99" t="inlineStr">
        <is>
          <t>ZAXBY'S #34101</t>
        </is>
      </c>
      <c r="D152" s="100" t="n">
        <v>13.42</v>
      </c>
      <c r="E152" s="104">
        <f>IF($C152="","",IFERROR(LOOKUP(2,1/((ISNUMBER(SEARCH('Category Rules'!$B$6:$B$125,$C152)))*('Category Rules'!$B$6:$B$125&lt;&gt;"")),'Category Rules'!$C$6:$C$125),"Uncategorized"))</f>
        <v/>
      </c>
      <c r="F152" s="108" t="n"/>
      <c r="G152" s="106">
        <f>IF($C152="","",IF($F152&lt;&gt;"",$F152,$E152))</f>
        <v/>
      </c>
      <c r="H152" s="82">
        <f>IF($B152="","",TEXT($B152,"mmm yyyy"))</f>
        <v/>
      </c>
    </row>
    <row r="153" ht="18" customHeight="1">
      <c r="A153" s="14" t="n"/>
      <c r="B153" s="98" t="inlineStr">
        <is>
          <t>2026-01-31</t>
        </is>
      </c>
      <c r="C153" s="99" t="inlineStr">
        <is>
          <t>DOLLAR GENERAL # DG 203</t>
        </is>
      </c>
      <c r="D153" s="100" t="n">
        <v>13.15</v>
      </c>
      <c r="E153" s="101">
        <f>IF($C153="","",IFERROR(LOOKUP(2,1/((ISNUMBER(SEARCH('Category Rules'!$B$6:$B$125,$C153)))*('Category Rules'!$B$6:$B$125&lt;&gt;"")),'Category Rules'!$C$6:$C$125),"Uncategorized"))</f>
        <v/>
      </c>
      <c r="F153" s="108" t="n"/>
      <c r="G153" s="103">
        <f>IF($C153="","",IF($F153&lt;&gt;"",$F153,$E153))</f>
        <v/>
      </c>
      <c r="H153" s="85">
        <f>IF($B153="","",TEXT($B153,"mmm yyyy"))</f>
        <v/>
      </c>
    </row>
    <row r="154" ht="18" customHeight="1">
      <c r="A154" s="10" t="n"/>
      <c r="B154" s="98" t="inlineStr">
        <is>
          <t>2026-01-31</t>
        </is>
      </c>
      <c r="C154" s="99" t="inlineStr">
        <is>
          <t>W. M. GROCERY</t>
        </is>
      </c>
      <c r="D154" s="100" t="n">
        <v>15.1</v>
      </c>
      <c r="E154" s="104">
        <f>IF($C154="","",IFERROR(LOOKUP(2,1/((ISNUMBER(SEARCH('Category Rules'!$B$6:$B$125,$C154)))*('Category Rules'!$B$6:$B$125&lt;&gt;"")),'Category Rules'!$C$6:$C$125),"Uncategorized"))</f>
        <v/>
      </c>
      <c r="F154" s="108" t="n"/>
      <c r="G154" s="106">
        <f>IF($C154="","",IF($F154&lt;&gt;"",$F154,$E154))</f>
        <v/>
      </c>
      <c r="H154" s="82">
        <f>IF($B154="","",TEXT($B154,"mmm yyyy"))</f>
        <v/>
      </c>
    </row>
    <row r="155" ht="18" customHeight="1">
      <c r="A155" s="14" t="n"/>
      <c r="B155" s="98" t="inlineStr">
        <is>
          <t>2026-01-31</t>
        </is>
      </c>
      <c r="C155" s="99" t="inlineStr">
        <is>
          <t>THE GREEN STORES</t>
        </is>
      </c>
      <c r="D155" s="100" t="n">
        <v>61.44</v>
      </c>
      <c r="E155" s="101">
        <f>IF($C155="","",IFERROR(LOOKUP(2,1/((ISNUMBER(SEARCH('Category Rules'!$B$6:$B$125,$C155)))*('Category Rules'!$B$6:$B$125&lt;&gt;"")),'Category Rules'!$C$6:$C$125),"Uncategorized"))</f>
        <v/>
      </c>
      <c r="F155" s="108" t="n"/>
      <c r="G155" s="103">
        <f>IF($C155="","",IF($F155&lt;&gt;"",$F155,$E155))</f>
        <v/>
      </c>
      <c r="H155" s="85">
        <f>IF($B155="","",TEXT($B155,"mmm yyyy"))</f>
        <v/>
      </c>
    </row>
    <row r="156" ht="18" customHeight="1">
      <c r="A156" s="10" t="n"/>
      <c r="B156" s="98" t="inlineStr">
        <is>
          <t>2026-01-31</t>
        </is>
      </c>
      <c r="C156" s="99" t="inlineStr">
        <is>
          <t>W M GROCERY</t>
        </is>
      </c>
      <c r="D156" s="100" t="n">
        <v>3.2</v>
      </c>
      <c r="E156" s="104">
        <f>IF($C156="","",IFERROR(LOOKUP(2,1/((ISNUMBER(SEARCH('Category Rules'!$B$6:$B$125,$C156)))*('Category Rules'!$B$6:$B$125&lt;&gt;"")),'Category Rules'!$C$6:$C$125),"Uncategorized"))</f>
        <v/>
      </c>
      <c r="F156" s="108" t="n"/>
      <c r="G156" s="106">
        <f>IF($C156="","",IF($F156&lt;&gt;"",$F156,$E156))</f>
        <v/>
      </c>
      <c r="H156" s="82">
        <f>IF($B156="","",TEXT($B156,"mmm yyyy"))</f>
        <v/>
      </c>
    </row>
    <row r="157" ht="18" customHeight="1">
      <c r="A157" s="14" t="n"/>
      <c r="B157" s="98" t="inlineStr">
        <is>
          <t>2026-01-31</t>
        </is>
      </c>
      <c r="C157" s="99" t="inlineStr">
        <is>
          <t>SQ *JASMYNE TURNER</t>
        </is>
      </c>
      <c r="D157" s="100" t="n">
        <v>30</v>
      </c>
      <c r="E157" s="101">
        <f>IF($C157="","",IFERROR(LOOKUP(2,1/((ISNUMBER(SEARCH('Category Rules'!$B$6:$B$125,$C157)))*('Category Rules'!$B$6:$B$125&lt;&gt;"")),'Category Rules'!$C$6:$C$125),"Uncategorized"))</f>
        <v/>
      </c>
      <c r="F157" s="108" t="n"/>
      <c r="G157" s="103">
        <f>IF($C157="","",IF($F157&lt;&gt;"",$F157,$E157))</f>
        <v/>
      </c>
      <c r="H157" s="85">
        <f>IF($B157="","",TEXT($B157,"mmm yyyy"))</f>
        <v/>
      </c>
    </row>
    <row r="158" ht="18" customHeight="1">
      <c r="A158" s="10" t="n"/>
      <c r="B158" s="98" t="inlineStr">
        <is>
          <t>2026-01-31</t>
        </is>
      </c>
      <c r="C158" s="99" t="inlineStr">
        <is>
          <t>ORACL*Waffle House 160</t>
        </is>
      </c>
      <c r="D158" s="100" t="n">
        <v>26</v>
      </c>
      <c r="E158" s="104">
        <f>IF($C158="","",IFERROR(LOOKUP(2,1/((ISNUMBER(SEARCH('Category Rules'!$B$6:$B$125,$C158)))*('Category Rules'!$B$6:$B$125&lt;&gt;"")),'Category Rules'!$C$6:$C$125),"Uncategorized"))</f>
        <v/>
      </c>
      <c r="F158" s="108" t="n"/>
      <c r="G158" s="106">
        <f>IF($C158="","",IF($F158&lt;&gt;"",$F158,$E158))</f>
        <v/>
      </c>
      <c r="H158" s="82">
        <f>IF($B158="","",TEXT($B158,"mmm yyyy"))</f>
        <v/>
      </c>
    </row>
    <row r="159" ht="18" customHeight="1">
      <c r="A159" s="14" t="n"/>
      <c r="B159" s="98" t="inlineStr">
        <is>
          <t>2026-01-31</t>
        </is>
      </c>
      <c r="C159" s="99" t="inlineStr">
        <is>
          <t>TST* ROCK N ROOSTER SA</t>
        </is>
      </c>
      <c r="D159" s="100" t="n">
        <v>45.25</v>
      </c>
      <c r="E159" s="101">
        <f>IF($C159="","",IFERROR(LOOKUP(2,1/((ISNUMBER(SEARCH('Category Rules'!$B$6:$B$125,$C159)))*('Category Rules'!$B$6:$B$125&lt;&gt;"")),'Category Rules'!$C$6:$C$125),"Uncategorized"))</f>
        <v/>
      </c>
      <c r="F159" s="108" t="n"/>
      <c r="G159" s="103">
        <f>IF($C159="","",IF($F159&lt;&gt;"",$F159,$E159))</f>
        <v/>
      </c>
      <c r="H159" s="85">
        <f>IF($B159="","",TEXT($B159,"mmm yyyy"))</f>
        <v/>
      </c>
    </row>
    <row r="160" ht="18" customHeight="1">
      <c r="A160" s="10" t="n"/>
      <c r="B160" s="98" t="inlineStr">
        <is>
          <t>2026-02-01</t>
        </is>
      </c>
      <c r="C160" s="99" t="inlineStr">
        <is>
          <t>WM SUPERCENTER #300</t>
        </is>
      </c>
      <c r="D160" s="100" t="n">
        <v>40.8</v>
      </c>
      <c r="E160" s="104">
        <f>IF($C160="","",IFERROR(LOOKUP(2,1/((ISNUMBER(SEARCH('Category Rules'!$B$6:$B$125,$C160)))*('Category Rules'!$B$6:$B$125&lt;&gt;"")),'Category Rules'!$C$6:$C$125),"Uncategorized"))</f>
        <v/>
      </c>
      <c r="F160" s="108" t="n"/>
      <c r="G160" s="106">
        <f>IF($C160="","",IF($F160&lt;&gt;"",$F160,$E160))</f>
        <v/>
      </c>
      <c r="H160" s="82">
        <f>IF($B160="","",TEXT($B160,"mmm yyyy"))</f>
        <v/>
      </c>
    </row>
    <row r="161" ht="18" customHeight="1">
      <c r="A161" s="14" t="n"/>
      <c r="B161" s="98" t="inlineStr">
        <is>
          <t>2026-02-01</t>
        </is>
      </c>
      <c r="C161" s="99" t="inlineStr">
        <is>
          <t>PIC'N SAVE #248</t>
        </is>
      </c>
      <c r="D161" s="100" t="n">
        <v>6.68</v>
      </c>
      <c r="E161" s="101">
        <f>IF($C161="","",IFERROR(LOOKUP(2,1/((ISNUMBER(SEARCH('Category Rules'!$B$6:$B$125,$C161)))*('Category Rules'!$B$6:$B$125&lt;&gt;"")),'Category Rules'!$C$6:$C$125),"Uncategorized"))</f>
        <v/>
      </c>
      <c r="F161" s="108" t="n"/>
      <c r="G161" s="103">
        <f>IF($C161="","",IF($F161&lt;&gt;"",$F161,$E161))</f>
        <v/>
      </c>
      <c r="H161" s="85">
        <f>IF($B161="","",TEXT($B161,"mmm yyyy"))</f>
        <v/>
      </c>
    </row>
    <row r="162" ht="18" customHeight="1">
      <c r="A162" s="10" t="n"/>
      <c r="B162" s="98" t="inlineStr">
        <is>
          <t>2026-02-01</t>
        </is>
      </c>
      <c r="C162" s="99" t="inlineStr">
        <is>
          <t>PIC'N SAVE #248</t>
        </is>
      </c>
      <c r="D162" s="100" t="n">
        <v>2.51</v>
      </c>
      <c r="E162" s="104">
        <f>IF($C162="","",IFERROR(LOOKUP(2,1/((ISNUMBER(SEARCH('Category Rules'!$B$6:$B$125,$C162)))*('Category Rules'!$B$6:$B$125&lt;&gt;"")),'Category Rules'!$C$6:$C$125),"Uncategorized"))</f>
        <v/>
      </c>
      <c r="F162" s="108" t="n"/>
      <c r="G162" s="106">
        <f>IF($C162="","",IF($F162&lt;&gt;"",$F162,$E162))</f>
        <v/>
      </c>
      <c r="H162" s="82">
        <f>IF($B162="","",TEXT($B162,"mmm yyyy"))</f>
        <v/>
      </c>
    </row>
    <row r="163" ht="18" customHeight="1">
      <c r="A163" s="14" t="n"/>
      <c r="B163" s="98" t="inlineStr">
        <is>
          <t>2026-02-02</t>
        </is>
      </c>
      <c r="C163" s="99" t="inlineStr">
        <is>
          <t>PIC'N SAVE #248</t>
        </is>
      </c>
      <c r="D163" s="100" t="n">
        <v>2.51</v>
      </c>
      <c r="E163" s="101">
        <f>IF($C163="","",IFERROR(LOOKUP(2,1/((ISNUMBER(SEARCH('Category Rules'!$B$6:$B$125,$C163)))*('Category Rules'!$B$6:$B$125&lt;&gt;"")),'Category Rules'!$C$6:$C$125),"Uncategorized"))</f>
        <v/>
      </c>
      <c r="F163" s="108" t="n"/>
      <c r="G163" s="103">
        <f>IF($C163="","",IF($F163&lt;&gt;"",$F163,$E163))</f>
        <v/>
      </c>
      <c r="H163" s="85">
        <f>IF($B163="","",TEXT($B163,"mmm yyyy"))</f>
        <v/>
      </c>
    </row>
    <row r="164" ht="18" customHeight="1">
      <c r="A164" s="10" t="n"/>
      <c r="B164" s="98" t="inlineStr">
        <is>
          <t>2026-02-02</t>
        </is>
      </c>
      <c r="C164" s="99" t="inlineStr">
        <is>
          <t>JACK'S #203</t>
        </is>
      </c>
      <c r="D164" s="100" t="n">
        <v>7.07</v>
      </c>
      <c r="E164" s="104">
        <f>IF($C164="","",IFERROR(LOOKUP(2,1/((ISNUMBER(SEARCH('Category Rules'!$B$6:$B$125,$C164)))*('Category Rules'!$B$6:$B$125&lt;&gt;"")),'Category Rules'!$C$6:$C$125),"Uncategorized"))</f>
        <v/>
      </c>
      <c r="F164" s="108" t="n"/>
      <c r="G164" s="106">
        <f>IF($C164="","",IF($F164&lt;&gt;"",$F164,$E164))</f>
        <v/>
      </c>
      <c r="H164" s="82">
        <f>IF($B164="","",TEXT($B164,"mmm yyyy"))</f>
        <v/>
      </c>
    </row>
    <row r="165" ht="18" customHeight="1">
      <c r="A165" s="14" t="n"/>
      <c r="B165" s="98" t="inlineStr">
        <is>
          <t>2026-02-02</t>
        </is>
      </c>
      <c r="C165" s="99" t="inlineStr">
        <is>
          <t>JACK'S #156 HEFLIN</t>
        </is>
      </c>
      <c r="D165" s="100" t="n">
        <v>9.91</v>
      </c>
      <c r="E165" s="101">
        <f>IF($C165="","",IFERROR(LOOKUP(2,1/((ISNUMBER(SEARCH('Category Rules'!$B$6:$B$125,$C165)))*('Category Rules'!$B$6:$B$125&lt;&gt;"")),'Category Rules'!$C$6:$C$125),"Uncategorized"))</f>
        <v/>
      </c>
      <c r="F165" s="108" t="n"/>
      <c r="G165" s="103">
        <f>IF($C165="","",IF($F165&lt;&gt;"",$F165,$E165))</f>
        <v/>
      </c>
      <c r="H165" s="85">
        <f>IF($B165="","",TEXT($B165,"mmm yyyy"))</f>
        <v/>
      </c>
    </row>
    <row r="166" ht="18" customHeight="1">
      <c r="A166" s="10" t="n"/>
      <c r="B166" s="98" t="inlineStr">
        <is>
          <t>2026-02-02</t>
        </is>
      </c>
      <c r="C166" s="99" t="inlineStr">
        <is>
          <t>TST* ROCK N ROOSTER SA</t>
        </is>
      </c>
      <c r="D166" s="100" t="n">
        <v>44.04</v>
      </c>
      <c r="E166" s="104">
        <f>IF($C166="","",IFERROR(LOOKUP(2,1/((ISNUMBER(SEARCH('Category Rules'!$B$6:$B$125,$C166)))*('Category Rules'!$B$6:$B$125&lt;&gt;"")),'Category Rules'!$C$6:$C$125),"Uncategorized"))</f>
        <v/>
      </c>
      <c r="F166" s="108" t="n"/>
      <c r="G166" s="106">
        <f>IF($C166="","",IF($F166&lt;&gt;"",$F166,$E166))</f>
        <v/>
      </c>
      <c r="H166" s="82">
        <f>IF($B166="","",TEXT($B166,"mmm yyyy"))</f>
        <v/>
      </c>
    </row>
    <row r="167" ht="18" customHeight="1">
      <c r="A167" s="14" t="n"/>
      <c r="B167" s="98" t="inlineStr">
        <is>
          <t>2026-02-02</t>
        </is>
      </c>
      <c r="C167" s="99" t="inlineStr">
        <is>
          <t>MCDONALD'S F6920</t>
        </is>
      </c>
      <c r="D167" s="100" t="n">
        <v>10.54</v>
      </c>
      <c r="E167" s="101">
        <f>IF($C167="","",IFERROR(LOOKUP(2,1/((ISNUMBER(SEARCH('Category Rules'!$B$6:$B$125,$C167)))*('Category Rules'!$B$6:$B$125&lt;&gt;"")),'Category Rules'!$C$6:$C$125),"Uncategorized"))</f>
        <v/>
      </c>
      <c r="F167" s="108" t="n"/>
      <c r="G167" s="103">
        <f>IF($C167="","",IF($F167&lt;&gt;"",$F167,$E167))</f>
        <v/>
      </c>
      <c r="H167" s="85">
        <f>IF($B167="","",TEXT($B167,"mmm yyyy"))</f>
        <v/>
      </c>
    </row>
    <row r="168" ht="18" customHeight="1">
      <c r="A168" s="10" t="n"/>
      <c r="B168" s="98" t="inlineStr">
        <is>
          <t>2026-02-03</t>
        </is>
      </c>
      <c r="C168" s="99" t="inlineStr">
        <is>
          <t>WAL-MART #0300</t>
        </is>
      </c>
      <c r="D168" s="100" t="n">
        <v>25.76</v>
      </c>
      <c r="E168" s="104">
        <f>IF($C168="","",IFERROR(LOOKUP(2,1/((ISNUMBER(SEARCH('Category Rules'!$B$6:$B$125,$C168)))*('Category Rules'!$B$6:$B$125&lt;&gt;"")),'Category Rules'!$C$6:$C$125),"Uncategorized"))</f>
        <v/>
      </c>
      <c r="F168" s="108" t="n"/>
      <c r="G168" s="106">
        <f>IF($C168="","",IF($F168&lt;&gt;"",$F168,$E168))</f>
        <v/>
      </c>
      <c r="H168" s="82">
        <f>IF($B168="","",TEXT($B168,"mmm yyyy"))</f>
        <v/>
      </c>
    </row>
    <row r="169" ht="18" customHeight="1">
      <c r="A169" s="14" t="n"/>
      <c r="B169" s="98" t="inlineStr">
        <is>
          <t>2026-02-03</t>
        </is>
      </c>
      <c r="C169" s="99" t="inlineStr">
        <is>
          <t>OXFORD CHEVRON</t>
        </is>
      </c>
      <c r="D169" s="100" t="n">
        <v>40</v>
      </c>
      <c r="E169" s="101">
        <f>IF($C169="","",IFERROR(LOOKUP(2,1/((ISNUMBER(SEARCH('Category Rules'!$B$6:$B$125,$C169)))*('Category Rules'!$B$6:$B$125&lt;&gt;"")),'Category Rules'!$C$6:$C$125),"Uncategorized"))</f>
        <v/>
      </c>
      <c r="F169" s="108" t="n"/>
      <c r="G169" s="103">
        <f>IF($C169="","",IF($F169&lt;&gt;"",$F169,$E169))</f>
        <v/>
      </c>
      <c r="H169" s="85">
        <f>IF($B169="","",TEXT($B169,"mmm yyyy"))</f>
        <v/>
      </c>
    </row>
    <row r="170" ht="18" customHeight="1">
      <c r="A170" s="10" t="n"/>
      <c r="B170" s="98" t="inlineStr">
        <is>
          <t>2026-02-03</t>
        </is>
      </c>
      <c r="C170" s="99" t="inlineStr">
        <is>
          <t>DORSEY'S SUPERM</t>
        </is>
      </c>
      <c r="D170" s="100" t="n">
        <v>26.73</v>
      </c>
      <c r="E170" s="104">
        <f>IF($C170="","",IFERROR(LOOKUP(2,1/((ISNUMBER(SEARCH('Category Rules'!$B$6:$B$125,$C170)))*('Category Rules'!$B$6:$B$125&lt;&gt;"")),'Category Rules'!$C$6:$C$125),"Uncategorized"))</f>
        <v/>
      </c>
      <c r="F170" s="108" t="n"/>
      <c r="G170" s="106">
        <f>IF($C170="","",IF($F170&lt;&gt;"",$F170,$E170))</f>
        <v/>
      </c>
      <c r="H170" s="82">
        <f>IF($B170="","",TEXT($B170,"mmm yyyy"))</f>
        <v/>
      </c>
    </row>
    <row r="171" ht="18" customHeight="1">
      <c r="A171" s="14" t="n"/>
      <c r="B171" s="98" t="inlineStr">
        <is>
          <t>2026-02-03</t>
        </is>
      </c>
      <c r="C171" s="99" t="inlineStr">
        <is>
          <t>PERRYLAND FOODS</t>
        </is>
      </c>
      <c r="D171" s="100" t="n">
        <v>2.84</v>
      </c>
      <c r="E171" s="101">
        <f>IF($C171="","",IFERROR(LOOKUP(2,1/((ISNUMBER(SEARCH('Category Rules'!$B$6:$B$125,$C171)))*('Category Rules'!$B$6:$B$125&lt;&gt;"")),'Category Rules'!$C$6:$C$125),"Uncategorized"))</f>
        <v/>
      </c>
      <c r="F171" s="108" t="n"/>
      <c r="G171" s="103">
        <f>IF($C171="","",IF($F171&lt;&gt;"",$F171,$E171))</f>
        <v/>
      </c>
      <c r="H171" s="85">
        <f>IF($B171="","",TEXT($B171,"mmm yyyy"))</f>
        <v/>
      </c>
    </row>
    <row r="172" ht="18" customHeight="1">
      <c r="A172" s="10" t="n"/>
      <c r="B172" s="98" t="inlineStr">
        <is>
          <t>2026-02-03</t>
        </is>
      </c>
      <c r="C172" s="99" t="inlineStr">
        <is>
          <t>W. M. GROCERY</t>
        </is>
      </c>
      <c r="D172" s="100" t="n">
        <v>4.3</v>
      </c>
      <c r="E172" s="104">
        <f>IF($C172="","",IFERROR(LOOKUP(2,1/((ISNUMBER(SEARCH('Category Rules'!$B$6:$B$125,$C172)))*('Category Rules'!$B$6:$B$125&lt;&gt;"")),'Category Rules'!$C$6:$C$125),"Uncategorized"))</f>
        <v/>
      </c>
      <c r="F172" s="108" t="n"/>
      <c r="G172" s="106">
        <f>IF($C172="","",IF($F172&lt;&gt;"",$F172,$E172))</f>
        <v/>
      </c>
      <c r="H172" s="82">
        <f>IF($B172="","",TEXT($B172,"mmm yyyy"))</f>
        <v/>
      </c>
    </row>
    <row r="173" ht="18" customHeight="1">
      <c r="A173" s="14" t="n"/>
      <c r="B173" s="98" t="inlineStr">
        <is>
          <t>2026-02-03</t>
        </is>
      </c>
      <c r="C173" s="99" t="inlineStr">
        <is>
          <t>Bojangles 0914</t>
        </is>
      </c>
      <c r="D173" s="100" t="n">
        <v>8.130000000000001</v>
      </c>
      <c r="E173" s="101">
        <f>IF($C173="","",IFERROR(LOOKUP(2,1/((ISNUMBER(SEARCH('Category Rules'!$B$6:$B$125,$C173)))*('Category Rules'!$B$6:$B$125&lt;&gt;"")),'Category Rules'!$C$6:$C$125),"Uncategorized"))</f>
        <v/>
      </c>
      <c r="F173" s="108" t="n"/>
      <c r="G173" s="103">
        <f>IF($C173="","",IF($F173&lt;&gt;"",$F173,$E173))</f>
        <v/>
      </c>
      <c r="H173" s="85">
        <f>IF($B173="","",TEXT($B173,"mmm yyyy"))</f>
        <v/>
      </c>
    </row>
    <row r="174" ht="18" customHeight="1">
      <c r="A174" s="10" t="n"/>
      <c r="B174" s="98" t="inlineStr">
        <is>
          <t>2026-02-03</t>
        </is>
      </c>
      <c r="C174" s="99" t="inlineStr">
        <is>
          <t>ZAXBY'S #34001</t>
        </is>
      </c>
      <c r="D174" s="100" t="n">
        <v>13.17</v>
      </c>
      <c r="E174" s="104">
        <f>IF($C174="","",IFERROR(LOOKUP(2,1/((ISNUMBER(SEARCH('Category Rules'!$B$6:$B$125,$C174)))*('Category Rules'!$B$6:$B$125&lt;&gt;"")),'Category Rules'!$C$6:$C$125),"Uncategorized"))</f>
        <v/>
      </c>
      <c r="F174" s="108" t="n"/>
      <c r="G174" s="106">
        <f>IF($C174="","",IF($F174&lt;&gt;"",$F174,$E174))</f>
        <v/>
      </c>
      <c r="H174" s="82">
        <f>IF($B174="","",TEXT($B174,"mmm yyyy"))</f>
        <v/>
      </c>
    </row>
    <row r="175" ht="18" customHeight="1">
      <c r="A175" s="14" t="n"/>
      <c r="B175" s="98" t="inlineStr">
        <is>
          <t>2026-02-03</t>
        </is>
      </c>
      <c r="C175" s="99" t="inlineStr">
        <is>
          <t>JACK'S #156 HEFLIN</t>
        </is>
      </c>
      <c r="D175" s="100" t="n">
        <v>4.68</v>
      </c>
      <c r="E175" s="101">
        <f>IF($C175="","",IFERROR(LOOKUP(2,1/((ISNUMBER(SEARCH('Category Rules'!$B$6:$B$125,$C175)))*('Category Rules'!$B$6:$B$125&lt;&gt;"")),'Category Rules'!$C$6:$C$125),"Uncategorized"))</f>
        <v/>
      </c>
      <c r="F175" s="108" t="n"/>
      <c r="G175" s="103">
        <f>IF($C175="","",IF($F175&lt;&gt;"",$F175,$E175))</f>
        <v/>
      </c>
      <c r="H175" s="85">
        <f>IF($B175="","",TEXT($B175,"mmm yyyy"))</f>
        <v/>
      </c>
    </row>
    <row r="176" ht="18" customHeight="1">
      <c r="A176" s="10" t="n"/>
      <c r="B176" s="98" t="inlineStr">
        <is>
          <t>2026-02-04</t>
        </is>
      </c>
      <c r="C176" s="99" t="inlineStr">
        <is>
          <t>CIRCLE K # 23665 800 S</t>
        </is>
      </c>
      <c r="D176" s="100" t="n">
        <v>3.98</v>
      </c>
      <c r="E176" s="104">
        <f>IF($C176="","",IFERROR(LOOKUP(2,1/((ISNUMBER(SEARCH('Category Rules'!$B$6:$B$125,$C176)))*('Category Rules'!$B$6:$B$125&lt;&gt;"")),'Category Rules'!$C$6:$C$125),"Uncategorized"))</f>
        <v/>
      </c>
      <c r="F176" s="108" t="n"/>
      <c r="G176" s="106">
        <f>IF($C176="","",IF($F176&lt;&gt;"",$F176,$E176))</f>
        <v/>
      </c>
      <c r="H176" s="82">
        <f>IF($B176="","",TEXT($B176,"mmm yyyy"))</f>
        <v/>
      </c>
    </row>
    <row r="177" ht="18" customHeight="1">
      <c r="A177" s="14" t="n"/>
      <c r="B177" s="98" t="inlineStr">
        <is>
          <t>2026-02-05</t>
        </is>
      </c>
      <c r="C177" s="99" t="inlineStr">
        <is>
          <t>SITE356853- CHE</t>
        </is>
      </c>
      <c r="D177" s="100" t="n">
        <v>8.19</v>
      </c>
      <c r="E177" s="101">
        <f>IF($C177="","",IFERROR(LOOKUP(2,1/((ISNUMBER(SEARCH('Category Rules'!$B$6:$B$125,$C177)))*('Category Rules'!$B$6:$B$125&lt;&gt;"")),'Category Rules'!$C$6:$C$125),"Uncategorized"))</f>
        <v/>
      </c>
      <c r="F177" s="108" t="n"/>
      <c r="G177" s="103">
        <f>IF($C177="","",IF($F177&lt;&gt;"",$F177,$E177))</f>
        <v/>
      </c>
      <c r="H177" s="85">
        <f>IF($B177="","",TEXT($B177,"mmm yyyy"))</f>
        <v/>
      </c>
    </row>
    <row r="178" ht="18" customHeight="1">
      <c r="A178" s="10" t="n"/>
      <c r="B178" s="98" t="inlineStr">
        <is>
          <t>2026-02-06</t>
        </is>
      </c>
      <c r="C178" s="99" t="inlineStr">
        <is>
          <t>PIGGLY WIGGLY O</t>
        </is>
      </c>
      <c r="D178" s="100" t="n">
        <v>3.2</v>
      </c>
      <c r="E178" s="104">
        <f>IF($C178="","",IFERROR(LOOKUP(2,1/((ISNUMBER(SEARCH('Category Rules'!$B$6:$B$125,$C178)))*('Category Rules'!$B$6:$B$125&lt;&gt;"")),'Category Rules'!$C$6:$C$125),"Uncategorized"))</f>
        <v/>
      </c>
      <c r="F178" s="108" t="n"/>
      <c r="G178" s="106">
        <f>IF($C178="","",IF($F178&lt;&gt;"",$F178,$E178))</f>
        <v/>
      </c>
      <c r="H178" s="82">
        <f>IF($B178="","",TEXT($B178,"mmm yyyy"))</f>
        <v/>
      </c>
    </row>
    <row r="179" ht="18" customHeight="1">
      <c r="A179" s="14" t="n"/>
      <c r="B179" s="98" t="inlineStr">
        <is>
          <t>2026-02-06</t>
        </is>
      </c>
      <c r="C179" s="99" t="inlineStr">
        <is>
          <t>W M GROCERY</t>
        </is>
      </c>
      <c r="D179" s="100" t="n">
        <v>1.59</v>
      </c>
      <c r="E179" s="101">
        <f>IF($C179="","",IFERROR(LOOKUP(2,1/((ISNUMBER(SEARCH('Category Rules'!$B$6:$B$125,$C179)))*('Category Rules'!$B$6:$B$125&lt;&gt;"")),'Category Rules'!$C$6:$C$125),"Uncategorized"))</f>
        <v/>
      </c>
      <c r="F179" s="108" t="n"/>
      <c r="G179" s="103">
        <f>IF($C179="","",IF($F179&lt;&gt;"",$F179,$E179))</f>
        <v/>
      </c>
      <c r="H179" s="85">
        <f>IF($B179="","",TEXT($B179,"mmm yyyy"))</f>
        <v/>
      </c>
    </row>
    <row r="180" ht="18" customHeight="1">
      <c r="A180" s="10" t="n"/>
      <c r="B180" s="98" t="inlineStr">
        <is>
          <t>2026-02-06</t>
        </is>
      </c>
      <c r="C180" s="99" t="inlineStr">
        <is>
          <t>DAIRY QUEEN #44220</t>
        </is>
      </c>
      <c r="D180" s="100" t="n">
        <v>11.21</v>
      </c>
      <c r="E180" s="104">
        <f>IF($C180="","",IFERROR(LOOKUP(2,1/((ISNUMBER(SEARCH('Category Rules'!$B$6:$B$125,$C180)))*('Category Rules'!$B$6:$B$125&lt;&gt;"")),'Category Rules'!$C$6:$C$125),"Uncategorized"))</f>
        <v/>
      </c>
      <c r="F180" s="108" t="n"/>
      <c r="G180" s="106">
        <f>IF($C180="","",IF($F180&lt;&gt;"",$F180,$E180))</f>
        <v/>
      </c>
      <c r="H180" s="82">
        <f>IF($B180="","",TEXT($B180,"mmm yyyy"))</f>
        <v/>
      </c>
    </row>
    <row r="181" ht="18" customHeight="1">
      <c r="A181" s="14" t="n"/>
      <c r="B181" s="98" t="inlineStr">
        <is>
          <t>2026-02-07</t>
        </is>
      </c>
      <c r="C181" s="99" t="inlineStr">
        <is>
          <t>PIGGLY WIGGLY O</t>
        </is>
      </c>
      <c r="D181" s="100" t="n">
        <v>3.2</v>
      </c>
      <c r="E181" s="101">
        <f>IF($C181="","",IFERROR(LOOKUP(2,1/((ISNUMBER(SEARCH('Category Rules'!$B$6:$B$125,$C181)))*('Category Rules'!$B$6:$B$125&lt;&gt;"")),'Category Rules'!$C$6:$C$125),"Uncategorized"))</f>
        <v/>
      </c>
      <c r="F181" s="108" t="n"/>
      <c r="G181" s="103">
        <f>IF($C181="","",IF($F181&lt;&gt;"",$F181,$E181))</f>
        <v/>
      </c>
      <c r="H181" s="85">
        <f>IF($B181="","",TEXT($B181,"mmm yyyy"))</f>
        <v/>
      </c>
    </row>
    <row r="182" ht="18" customHeight="1">
      <c r="A182" s="10" t="n"/>
      <c r="B182" s="98" t="inlineStr">
        <is>
          <t>2026-02-07</t>
        </is>
      </c>
      <c r="C182" s="99" t="inlineStr">
        <is>
          <t>PIGGLY WIGGLY #</t>
        </is>
      </c>
      <c r="D182" s="100" t="n">
        <v>1.38</v>
      </c>
      <c r="E182" s="104">
        <f>IF($C182="","",IFERROR(LOOKUP(2,1/((ISNUMBER(SEARCH('Category Rules'!$B$6:$B$125,$C182)))*('Category Rules'!$B$6:$B$125&lt;&gt;"")),'Category Rules'!$C$6:$C$125),"Uncategorized"))</f>
        <v/>
      </c>
      <c r="F182" s="108" t="n"/>
      <c r="G182" s="106">
        <f>IF($C182="","",IF($F182&lt;&gt;"",$F182,$E182))</f>
        <v/>
      </c>
      <c r="H182" s="82">
        <f>IF($B182="","",TEXT($B182,"mmm yyyy"))</f>
        <v/>
      </c>
    </row>
    <row r="183" ht="18" customHeight="1">
      <c r="A183" s="14" t="n"/>
      <c r="B183" s="98" t="inlineStr">
        <is>
          <t>2026-02-07</t>
        </is>
      </c>
      <c r="C183" s="99" t="inlineStr">
        <is>
          <t>W M GROCERY</t>
        </is>
      </c>
      <c r="D183" s="100" t="n">
        <v>5.37</v>
      </c>
      <c r="E183" s="101">
        <f>IF($C183="","",IFERROR(LOOKUP(2,1/((ISNUMBER(SEARCH('Category Rules'!$B$6:$B$125,$C183)))*('Category Rules'!$B$6:$B$125&lt;&gt;"")),'Category Rules'!$C$6:$C$125),"Uncategorized"))</f>
        <v/>
      </c>
      <c r="F183" s="108" t="n"/>
      <c r="G183" s="103">
        <f>IF($C183="","",IF($F183&lt;&gt;"",$F183,$E183))</f>
        <v/>
      </c>
      <c r="H183" s="85">
        <f>IF($B183="","",TEXT($B183,"mmm yyyy"))</f>
        <v/>
      </c>
    </row>
    <row r="184" ht="18" customHeight="1">
      <c r="A184" s="10" t="n"/>
      <c r="B184" s="98" t="inlineStr">
        <is>
          <t>2026-02-07</t>
        </is>
      </c>
      <c r="C184" s="99" t="inlineStr">
        <is>
          <t>W M GROCERY</t>
        </is>
      </c>
      <c r="D184" s="100" t="n">
        <v>3.7</v>
      </c>
      <c r="E184" s="104">
        <f>IF($C184="","",IFERROR(LOOKUP(2,1/((ISNUMBER(SEARCH('Category Rules'!$B$6:$B$125,$C184)))*('Category Rules'!$B$6:$B$125&lt;&gt;"")),'Category Rules'!$C$6:$C$125),"Uncategorized"))</f>
        <v/>
      </c>
      <c r="F184" s="108" t="n"/>
      <c r="G184" s="106">
        <f>IF($C184="","",IF($F184&lt;&gt;"",$F184,$E184))</f>
        <v/>
      </c>
      <c r="H184" s="82">
        <f>IF($B184="","",TEXT($B184,"mmm yyyy"))</f>
        <v/>
      </c>
    </row>
    <row r="185" ht="18" customHeight="1">
      <c r="A185" s="14" t="n"/>
      <c r="B185" s="98" t="inlineStr">
        <is>
          <t>2026-02-07</t>
        </is>
      </c>
      <c r="C185" s="99" t="inlineStr">
        <is>
          <t>ORACL*Waffle House 160</t>
        </is>
      </c>
      <c r="D185" s="100" t="n">
        <v>30.25</v>
      </c>
      <c r="E185" s="101">
        <f>IF($C185="","",IFERROR(LOOKUP(2,1/((ISNUMBER(SEARCH('Category Rules'!$B$6:$B$125,$C185)))*('Category Rules'!$B$6:$B$125&lt;&gt;"")),'Category Rules'!$C$6:$C$125),"Uncategorized"))</f>
        <v/>
      </c>
      <c r="F185" s="108" t="n"/>
      <c r="G185" s="103">
        <f>IF($C185="","",IF($F185&lt;&gt;"",$F185,$E185))</f>
        <v/>
      </c>
      <c r="H185" s="85">
        <f>IF($B185="","",TEXT($B185,"mmm yyyy"))</f>
        <v/>
      </c>
    </row>
    <row r="186" ht="18" customHeight="1">
      <c r="A186" s="10" t="n"/>
      <c r="B186" s="98" t="inlineStr">
        <is>
          <t>2026-02-07</t>
        </is>
      </c>
      <c r="C186" s="99" t="inlineStr">
        <is>
          <t>TST* ROCK N ROOSTER SA</t>
        </is>
      </c>
      <c r="D186" s="100" t="n">
        <v>12.93</v>
      </c>
      <c r="E186" s="104">
        <f>IF($C186="","",IFERROR(LOOKUP(2,1/((ISNUMBER(SEARCH('Category Rules'!$B$6:$B$125,$C186)))*('Category Rules'!$B$6:$B$125&lt;&gt;"")),'Category Rules'!$C$6:$C$125),"Uncategorized"))</f>
        <v/>
      </c>
      <c r="F186" s="108" t="n"/>
      <c r="G186" s="106">
        <f>IF($C186="","",IF($F186&lt;&gt;"",$F186,$E186))</f>
        <v/>
      </c>
      <c r="H186" s="82">
        <f>IF($B186="","",TEXT($B186,"mmm yyyy"))</f>
        <v/>
      </c>
    </row>
    <row r="187" ht="18" customHeight="1">
      <c r="A187" s="14" t="n"/>
      <c r="B187" s="98" t="inlineStr">
        <is>
          <t>2026-02-07</t>
        </is>
      </c>
      <c r="C187" s="99" t="inlineStr">
        <is>
          <t>TST* ROCK N ROOSTER SA</t>
        </is>
      </c>
      <c r="D187" s="100" t="n">
        <v>46.41</v>
      </c>
      <c r="E187" s="101">
        <f>IF($C187="","",IFERROR(LOOKUP(2,1/((ISNUMBER(SEARCH('Category Rules'!$B$6:$B$125,$C187)))*('Category Rules'!$B$6:$B$125&lt;&gt;"")),'Category Rules'!$C$6:$C$125),"Uncategorized"))</f>
        <v/>
      </c>
      <c r="F187" s="108" t="n"/>
      <c r="G187" s="103">
        <f>IF($C187="","",IF($F187&lt;&gt;"",$F187,$E187))</f>
        <v/>
      </c>
      <c r="H187" s="85">
        <f>IF($B187="","",TEXT($B187,"mmm yyyy"))</f>
        <v/>
      </c>
    </row>
    <row r="188" ht="18" customHeight="1">
      <c r="A188" s="10" t="n"/>
      <c r="B188" s="98" t="inlineStr">
        <is>
          <t>2026-02-07</t>
        </is>
      </c>
      <c r="C188" s="99" t="inlineStr">
        <is>
          <t>TST* ROCK N ROOSTER SA</t>
        </is>
      </c>
      <c r="D188" s="100" t="n">
        <v>6.31</v>
      </c>
      <c r="E188" s="104">
        <f>IF($C188="","",IFERROR(LOOKUP(2,1/((ISNUMBER(SEARCH('Category Rules'!$B$6:$B$125,$C188)))*('Category Rules'!$B$6:$B$125&lt;&gt;"")),'Category Rules'!$C$6:$C$125),"Uncategorized"))</f>
        <v/>
      </c>
      <c r="F188" s="108" t="n"/>
      <c r="G188" s="106">
        <f>IF($C188="","",IF($F188&lt;&gt;"",$F188,$E188))</f>
        <v/>
      </c>
      <c r="H188" s="82">
        <f>IF($B188="","",TEXT($B188,"mmm yyyy"))</f>
        <v/>
      </c>
    </row>
    <row r="189" ht="18" customHeight="1">
      <c r="A189" s="14" t="n"/>
      <c r="B189" s="98" t="inlineStr">
        <is>
          <t>2026-02-07</t>
        </is>
      </c>
      <c r="C189" s="99" t="inlineStr">
        <is>
          <t>SITE356853- CHE</t>
        </is>
      </c>
      <c r="D189" s="100" t="n">
        <v>59.08</v>
      </c>
      <c r="E189" s="101">
        <f>IF($C189="","",IFERROR(LOOKUP(2,1/((ISNUMBER(SEARCH('Category Rules'!$B$6:$B$125,$C189)))*('Category Rules'!$B$6:$B$125&lt;&gt;"")),'Category Rules'!$C$6:$C$125),"Uncategorized"))</f>
        <v/>
      </c>
      <c r="F189" s="108" t="n"/>
      <c r="G189" s="103">
        <f>IF($C189="","",IF($F189&lt;&gt;"",$F189,$E189))</f>
        <v/>
      </c>
      <c r="H189" s="85">
        <f>IF($B189="","",TEXT($B189,"mmm yyyy"))</f>
        <v/>
      </c>
    </row>
    <row r="190" ht="18" customHeight="1">
      <c r="A190" s="10" t="n"/>
      <c r="B190" s="98" t="inlineStr">
        <is>
          <t>2026-02-08</t>
        </is>
      </c>
      <c r="C190" s="99" t="inlineStr">
        <is>
          <t>MCDONALD'S F6920</t>
        </is>
      </c>
      <c r="D190" s="100" t="n">
        <v>10.54</v>
      </c>
      <c r="E190" s="104">
        <f>IF($C190="","",IFERROR(LOOKUP(2,1/((ISNUMBER(SEARCH('Category Rules'!$B$6:$B$125,$C190)))*('Category Rules'!$B$6:$B$125&lt;&gt;"")),'Category Rules'!$C$6:$C$125),"Uncategorized"))</f>
        <v/>
      </c>
      <c r="F190" s="108" t="n"/>
      <c r="G190" s="106">
        <f>IF($C190="","",IF($F190&lt;&gt;"",$F190,$E190))</f>
        <v/>
      </c>
      <c r="H190" s="82">
        <f>IF($B190="","",TEXT($B190,"mmm yyyy"))</f>
        <v/>
      </c>
    </row>
    <row r="191" ht="18" customHeight="1">
      <c r="A191" s="14" t="n"/>
      <c r="B191" s="98" t="inlineStr">
        <is>
          <t>2026-02-09</t>
        </is>
      </c>
      <c r="C191" s="99" t="inlineStr">
        <is>
          <t>OXFORD CHEVRON</t>
        </is>
      </c>
      <c r="D191" s="100" t="n">
        <v>5.94</v>
      </c>
      <c r="E191" s="101">
        <f>IF($C191="","",IFERROR(LOOKUP(2,1/((ISNUMBER(SEARCH('Category Rules'!$B$6:$B$125,$C191)))*('Category Rules'!$B$6:$B$125&lt;&gt;"")),'Category Rules'!$C$6:$C$125),"Uncategorized"))</f>
        <v/>
      </c>
      <c r="F191" s="108" t="n"/>
      <c r="G191" s="103">
        <f>IF($C191="","",IF($F191&lt;&gt;"",$F191,$E191))</f>
        <v/>
      </c>
      <c r="H191" s="85">
        <f>IF($B191="","",TEXT($B191,"mmm yyyy"))</f>
        <v/>
      </c>
    </row>
    <row r="192" ht="18" customHeight="1">
      <c r="A192" s="10" t="n"/>
      <c r="B192" s="98" t="inlineStr">
        <is>
          <t>2026-02-09</t>
        </is>
      </c>
      <c r="C192" s="99" t="inlineStr">
        <is>
          <t>DORSEY'S SUPERM</t>
        </is>
      </c>
      <c r="D192" s="100" t="n">
        <v>2.81</v>
      </c>
      <c r="E192" s="104">
        <f>IF($C192="","",IFERROR(LOOKUP(2,1/((ISNUMBER(SEARCH('Category Rules'!$B$6:$B$125,$C192)))*('Category Rules'!$B$6:$B$125&lt;&gt;"")),'Category Rules'!$C$6:$C$125),"Uncategorized"))</f>
        <v/>
      </c>
      <c r="F192" s="108" t="n"/>
      <c r="G192" s="106">
        <f>IF($C192="","",IF($F192&lt;&gt;"",$F192,$E192))</f>
        <v/>
      </c>
      <c r="H192" s="82">
        <f>IF($B192="","",TEXT($B192,"mmm yyyy"))</f>
        <v/>
      </c>
    </row>
    <row r="193" ht="18" customHeight="1">
      <c r="A193" s="14" t="n"/>
      <c r="B193" s="98" t="inlineStr">
        <is>
          <t>2026-02-09</t>
        </is>
      </c>
      <c r="C193" s="99" t="inlineStr">
        <is>
          <t>DORSEY'S SUPERM</t>
        </is>
      </c>
      <c r="D193" s="100" t="n">
        <v>2.15</v>
      </c>
      <c r="E193" s="101">
        <f>IF($C193="","",IFERROR(LOOKUP(2,1/((ISNUMBER(SEARCH('Category Rules'!$B$6:$B$125,$C193)))*('Category Rules'!$B$6:$B$125&lt;&gt;"")),'Category Rules'!$C$6:$C$125),"Uncategorized"))</f>
        <v/>
      </c>
      <c r="F193" s="108" t="n"/>
      <c r="G193" s="103">
        <f>IF($C193="","",IF($F193&lt;&gt;"",$F193,$E193))</f>
        <v/>
      </c>
      <c r="H193" s="85">
        <f>IF($B193="","",TEXT($B193,"mmm yyyy"))</f>
        <v/>
      </c>
    </row>
    <row r="194" ht="18" customHeight="1">
      <c r="A194" s="10" t="n"/>
      <c r="B194" s="98" t="inlineStr">
        <is>
          <t>2026-02-09</t>
        </is>
      </c>
      <c r="C194" s="99" t="inlineStr">
        <is>
          <t>PIC'N SAVE #248</t>
        </is>
      </c>
      <c r="D194" s="100" t="n">
        <v>7.87</v>
      </c>
      <c r="E194" s="104">
        <f>IF($C194="","",IFERROR(LOOKUP(2,1/((ISNUMBER(SEARCH('Category Rules'!$B$6:$B$125,$C194)))*('Category Rules'!$B$6:$B$125&lt;&gt;"")),'Category Rules'!$C$6:$C$125),"Uncategorized"))</f>
        <v/>
      </c>
      <c r="F194" s="108" t="n"/>
      <c r="G194" s="106">
        <f>IF($C194="","",IF($F194&lt;&gt;"",$F194,$E194))</f>
        <v/>
      </c>
      <c r="H194" s="82">
        <f>IF($B194="","",TEXT($B194,"mmm yyyy"))</f>
        <v/>
      </c>
    </row>
    <row r="195" ht="18" customHeight="1">
      <c r="A195" s="14" t="n"/>
      <c r="B195" s="98" t="inlineStr">
        <is>
          <t>2026-02-09</t>
        </is>
      </c>
      <c r="C195" s="99" t="inlineStr">
        <is>
          <t>PIC'N SAVE #248</t>
        </is>
      </c>
      <c r="D195" s="100" t="n">
        <v>2.51</v>
      </c>
      <c r="E195" s="101">
        <f>IF($C195="","",IFERROR(LOOKUP(2,1/((ISNUMBER(SEARCH('Category Rules'!$B$6:$B$125,$C195)))*('Category Rules'!$B$6:$B$125&lt;&gt;"")),'Category Rules'!$C$6:$C$125),"Uncategorized"))</f>
        <v/>
      </c>
      <c r="F195" s="108" t="n"/>
      <c r="G195" s="103">
        <f>IF($C195="","",IF($F195&lt;&gt;"",$F195,$E195))</f>
        <v/>
      </c>
      <c r="H195" s="85">
        <f>IF($B195="","",TEXT($B195,"mmm yyyy"))</f>
        <v/>
      </c>
    </row>
    <row r="196" ht="18" customHeight="1">
      <c r="A196" s="10" t="n"/>
      <c r="B196" s="98" t="inlineStr">
        <is>
          <t>2026-02-09</t>
        </is>
      </c>
      <c r="C196" s="99" t="inlineStr">
        <is>
          <t>JACK'S #156 HEFLIN</t>
        </is>
      </c>
      <c r="D196" s="100" t="n">
        <v>9.91</v>
      </c>
      <c r="E196" s="104">
        <f>IF($C196="","",IFERROR(LOOKUP(2,1/((ISNUMBER(SEARCH('Category Rules'!$B$6:$B$125,$C196)))*('Category Rules'!$B$6:$B$125&lt;&gt;"")),'Category Rules'!$C$6:$C$125),"Uncategorized"))</f>
        <v/>
      </c>
      <c r="F196" s="108" t="n"/>
      <c r="G196" s="106">
        <f>IF($C196="","",IF($F196&lt;&gt;"",$F196,$E196))</f>
        <v/>
      </c>
      <c r="H196" s="82">
        <f>IF($B196="","",TEXT($B196,"mmm yyyy"))</f>
        <v/>
      </c>
    </row>
    <row r="197" ht="18" customHeight="1">
      <c r="A197" s="14" t="n"/>
      <c r="B197" s="98" t="inlineStr">
        <is>
          <t>2026-02-09</t>
        </is>
      </c>
      <c r="C197" s="99" t="inlineStr">
        <is>
          <t>JACK'S #156 HEFLIN</t>
        </is>
      </c>
      <c r="D197" s="100" t="n">
        <v>4.68</v>
      </c>
      <c r="E197" s="101">
        <f>IF($C197="","",IFERROR(LOOKUP(2,1/((ISNUMBER(SEARCH('Category Rules'!$B$6:$B$125,$C197)))*('Category Rules'!$B$6:$B$125&lt;&gt;"")),'Category Rules'!$C$6:$C$125),"Uncategorized"))</f>
        <v/>
      </c>
      <c r="F197" s="108" t="n"/>
      <c r="G197" s="103">
        <f>IF($C197="","",IF($F197&lt;&gt;"",$F197,$E197))</f>
        <v/>
      </c>
      <c r="H197" s="85">
        <f>IF($B197="","",TEXT($B197,"mmm yyyy"))</f>
        <v/>
      </c>
    </row>
    <row r="198" ht="18" customHeight="1">
      <c r="A198" s="10" t="n"/>
      <c r="B198" s="98" t="inlineStr">
        <is>
          <t>2026-02-09</t>
        </is>
      </c>
      <c r="C198" s="99" t="inlineStr">
        <is>
          <t>TST* ROCK N ROOSTER SA</t>
        </is>
      </c>
      <c r="D198" s="100" t="n">
        <v>40.66</v>
      </c>
      <c r="E198" s="104">
        <f>IF($C198="","",IFERROR(LOOKUP(2,1/((ISNUMBER(SEARCH('Category Rules'!$B$6:$B$125,$C198)))*('Category Rules'!$B$6:$B$125&lt;&gt;"")),'Category Rules'!$C$6:$C$125),"Uncategorized"))</f>
        <v/>
      </c>
      <c r="F198" s="108" t="n"/>
      <c r="G198" s="106">
        <f>IF($C198="","",IF($F198&lt;&gt;"",$F198,$E198))</f>
        <v/>
      </c>
      <c r="H198" s="82">
        <f>IF($B198="","",TEXT($B198,"mmm yyyy"))</f>
        <v/>
      </c>
    </row>
    <row r="199" ht="18" customHeight="1">
      <c r="A199" s="14" t="n"/>
      <c r="B199" s="98" t="inlineStr">
        <is>
          <t>2026-02-09</t>
        </is>
      </c>
      <c r="C199" s="99" t="inlineStr">
        <is>
          <t>TST* ROCK N ROOSTER SA</t>
        </is>
      </c>
      <c r="D199" s="100" t="n">
        <v>4.31</v>
      </c>
      <c r="E199" s="101">
        <f>IF($C199="","",IFERROR(LOOKUP(2,1/((ISNUMBER(SEARCH('Category Rules'!$B$6:$B$125,$C199)))*('Category Rules'!$B$6:$B$125&lt;&gt;"")),'Category Rules'!$C$6:$C$125),"Uncategorized"))</f>
        <v/>
      </c>
      <c r="F199" s="108" t="n"/>
      <c r="G199" s="103">
        <f>IF($C199="","",IF($F199&lt;&gt;"",$F199,$E199))</f>
        <v/>
      </c>
      <c r="H199" s="85">
        <f>IF($B199="","",TEXT($B199,"mmm yyyy"))</f>
        <v/>
      </c>
    </row>
    <row r="200" ht="18" customHeight="1">
      <c r="A200" s="10" t="n"/>
      <c r="B200" s="98" t="inlineStr">
        <is>
          <t>2026-02-10</t>
        </is>
      </c>
      <c r="C200" s="99" t="inlineStr">
        <is>
          <t>DOLLAR GENERAL # DG 304</t>
        </is>
      </c>
      <c r="D200" s="100" t="n">
        <v>16.1</v>
      </c>
      <c r="E200" s="104">
        <f>IF($C200="","",IFERROR(LOOKUP(2,1/((ISNUMBER(SEARCH('Category Rules'!$B$6:$B$125,$C200)))*('Category Rules'!$B$6:$B$125&lt;&gt;"")),'Category Rules'!$C$6:$C$125),"Uncategorized"))</f>
        <v/>
      </c>
      <c r="F200" s="108" t="n"/>
      <c r="G200" s="106">
        <f>IF($C200="","",IF($F200&lt;&gt;"",$F200,$E200))</f>
        <v/>
      </c>
      <c r="H200" s="82">
        <f>IF($B200="","",TEXT($B200,"mmm yyyy"))</f>
        <v/>
      </c>
    </row>
    <row r="201" ht="18" customHeight="1">
      <c r="A201" s="14" t="n"/>
      <c r="B201" s="98" t="inlineStr">
        <is>
          <t>2026-02-10</t>
        </is>
      </c>
      <c r="C201" s="99" t="inlineStr">
        <is>
          <t>DORSEY'S SUPERM</t>
        </is>
      </c>
      <c r="D201" s="100" t="n">
        <v>11.88</v>
      </c>
      <c r="E201" s="101">
        <f>IF($C201="","",IFERROR(LOOKUP(2,1/((ISNUMBER(SEARCH('Category Rules'!$B$6:$B$125,$C201)))*('Category Rules'!$B$6:$B$125&lt;&gt;"")),'Category Rules'!$C$6:$C$125),"Uncategorized"))</f>
        <v/>
      </c>
      <c r="F201" s="108" t="n"/>
      <c r="G201" s="103">
        <f>IF($C201="","",IF($F201&lt;&gt;"",$F201,$E201))</f>
        <v/>
      </c>
      <c r="H201" s="85">
        <f>IF($B201="","",TEXT($B201,"mmm yyyy"))</f>
        <v/>
      </c>
    </row>
    <row r="202" ht="18" customHeight="1">
      <c r="A202" s="10" t="n"/>
      <c r="B202" s="98" t="inlineStr">
        <is>
          <t>2026-02-10</t>
        </is>
      </c>
      <c r="C202" s="99" t="inlineStr">
        <is>
          <t>PIC'N SAVE #248</t>
        </is>
      </c>
      <c r="D202" s="100" t="n">
        <v>4.84</v>
      </c>
      <c r="E202" s="104">
        <f>IF($C202="","",IFERROR(LOOKUP(2,1/((ISNUMBER(SEARCH('Category Rules'!$B$6:$B$125,$C202)))*('Category Rules'!$B$6:$B$125&lt;&gt;"")),'Category Rules'!$C$6:$C$125),"Uncategorized"))</f>
        <v/>
      </c>
      <c r="F202" s="108" t="n"/>
      <c r="G202" s="106">
        <f>IF($C202="","",IF($F202&lt;&gt;"",$F202,$E202))</f>
        <v/>
      </c>
      <c r="H202" s="82">
        <f>IF($B202="","",TEXT($B202,"mmm yyyy"))</f>
        <v/>
      </c>
    </row>
    <row r="203" ht="18" customHeight="1">
      <c r="A203" s="14" t="n"/>
      <c r="B203" s="98" t="inlineStr">
        <is>
          <t>2026-02-10</t>
        </is>
      </c>
      <c r="C203" s="99" t="inlineStr">
        <is>
          <t>PIC'N SAVE #248</t>
        </is>
      </c>
      <c r="D203" s="100" t="n">
        <v>5.18</v>
      </c>
      <c r="E203" s="101">
        <f>IF($C203="","",IFERROR(LOOKUP(2,1/((ISNUMBER(SEARCH('Category Rules'!$B$6:$B$125,$C203)))*('Category Rules'!$B$6:$B$125&lt;&gt;"")),'Category Rules'!$C$6:$C$125),"Uncategorized"))</f>
        <v/>
      </c>
      <c r="F203" s="108" t="n"/>
      <c r="G203" s="103">
        <f>IF($C203="","",IF($F203&lt;&gt;"",$F203,$E203))</f>
        <v/>
      </c>
      <c r="H203" s="85">
        <f>IF($B203="","",TEXT($B203,"mmm yyyy"))</f>
        <v/>
      </c>
    </row>
    <row r="204" ht="18" customHeight="1">
      <c r="A204" s="10" t="n"/>
      <c r="B204" s="98" t="inlineStr">
        <is>
          <t>2026-02-10</t>
        </is>
      </c>
      <c r="C204" s="99" t="inlineStr">
        <is>
          <t>PIC'N SAVE #248</t>
        </is>
      </c>
      <c r="D204" s="100" t="n">
        <v>7.24</v>
      </c>
      <c r="E204" s="104">
        <f>IF($C204="","",IFERROR(LOOKUP(2,1/((ISNUMBER(SEARCH('Category Rules'!$B$6:$B$125,$C204)))*('Category Rules'!$B$6:$B$125&lt;&gt;"")),'Category Rules'!$C$6:$C$125),"Uncategorized"))</f>
        <v/>
      </c>
      <c r="F204" s="108" t="n"/>
      <c r="G204" s="106">
        <f>IF($C204="","",IF($F204&lt;&gt;"",$F204,$E204))</f>
        <v/>
      </c>
      <c r="H204" s="82">
        <f>IF($B204="","",TEXT($B204,"mmm yyyy"))</f>
        <v/>
      </c>
    </row>
    <row r="205" ht="18" customHeight="1">
      <c r="A205" s="14" t="n"/>
      <c r="B205" s="98" t="inlineStr">
        <is>
          <t>2026-02-10</t>
        </is>
      </c>
      <c r="C205" s="99" t="inlineStr">
        <is>
          <t>JACK'S #156 HEFLIN</t>
        </is>
      </c>
      <c r="D205" s="100" t="n">
        <v>9.029999999999999</v>
      </c>
      <c r="E205" s="101">
        <f>IF($C205="","",IFERROR(LOOKUP(2,1/((ISNUMBER(SEARCH('Category Rules'!$B$6:$B$125,$C205)))*('Category Rules'!$B$6:$B$125&lt;&gt;"")),'Category Rules'!$C$6:$C$125),"Uncategorized"))</f>
        <v/>
      </c>
      <c r="F205" s="108" t="n"/>
      <c r="G205" s="103">
        <f>IF($C205="","",IF($F205&lt;&gt;"",$F205,$E205))</f>
        <v/>
      </c>
      <c r="H205" s="85">
        <f>IF($B205="","",TEXT($B205,"mmm yyyy"))</f>
        <v/>
      </c>
    </row>
    <row r="206" ht="18" customHeight="1">
      <c r="A206" s="10" t="n"/>
      <c r="B206" s="98" t="inlineStr">
        <is>
          <t>2026-02-10</t>
        </is>
      </c>
      <c r="C206" s="99" t="inlineStr">
        <is>
          <t>JACK'S #156 HEFLIN</t>
        </is>
      </c>
      <c r="D206" s="100" t="n">
        <v>8.380000000000001</v>
      </c>
      <c r="E206" s="104">
        <f>IF($C206="","",IFERROR(LOOKUP(2,1/((ISNUMBER(SEARCH('Category Rules'!$B$6:$B$125,$C206)))*('Category Rules'!$B$6:$B$125&lt;&gt;"")),'Category Rules'!$C$6:$C$125),"Uncategorized"))</f>
        <v/>
      </c>
      <c r="F206" s="108" t="n"/>
      <c r="G206" s="106">
        <f>IF($C206="","",IF($F206&lt;&gt;"",$F206,$E206))</f>
        <v/>
      </c>
      <c r="H206" s="82">
        <f>IF($B206="","",TEXT($B206,"mmm yyyy"))</f>
        <v/>
      </c>
    </row>
    <row r="207" ht="18" customHeight="1">
      <c r="A207" s="14" t="n"/>
      <c r="B207" s="98" t="inlineStr">
        <is>
          <t>2026-02-10</t>
        </is>
      </c>
      <c r="C207" s="99" t="inlineStr">
        <is>
          <t>PIC'N SAVE #248 OXFORD</t>
        </is>
      </c>
      <c r="D207" s="100" t="n">
        <v>8.970000000000001</v>
      </c>
      <c r="E207" s="101">
        <f>IF($C207="","",IFERROR(LOOKUP(2,1/((ISNUMBER(SEARCH('Category Rules'!$B$6:$B$125,$C207)))*('Category Rules'!$B$6:$B$125&lt;&gt;"")),'Category Rules'!$C$6:$C$125),"Uncategorized"))</f>
        <v/>
      </c>
      <c r="F207" s="108" t="n"/>
      <c r="G207" s="103">
        <f>IF($C207="","",IF($F207&lt;&gt;"",$F207,$E207))</f>
        <v/>
      </c>
      <c r="H207" s="85">
        <f>IF($B207="","",TEXT($B207,"mmm yyyy"))</f>
        <v/>
      </c>
    </row>
    <row r="208" ht="18" customHeight="1">
      <c r="A208" s="10" t="n"/>
      <c r="B208" s="98" t="inlineStr">
        <is>
          <t>2026-02-10</t>
        </is>
      </c>
      <c r="C208" s="99" t="inlineStr">
        <is>
          <t>PIC'N SAVE #248 OXFORD</t>
        </is>
      </c>
      <c r="D208" s="100" t="n">
        <v>2.51</v>
      </c>
      <c r="E208" s="104">
        <f>IF($C208="","",IFERROR(LOOKUP(2,1/((ISNUMBER(SEARCH('Category Rules'!$B$6:$B$125,$C208)))*('Category Rules'!$B$6:$B$125&lt;&gt;"")),'Category Rules'!$C$6:$C$125),"Uncategorized"))</f>
        <v/>
      </c>
      <c r="F208" s="108" t="n"/>
      <c r="G208" s="106">
        <f>IF($C208="","",IF($F208&lt;&gt;"",$F208,$E208))</f>
        <v/>
      </c>
      <c r="H208" s="82">
        <f>IF($B208="","",TEXT($B208,"mmm yyyy"))</f>
        <v/>
      </c>
    </row>
    <row r="209" ht="18" customHeight="1">
      <c r="A209" s="14" t="n"/>
      <c r="B209" s="98" t="inlineStr">
        <is>
          <t>2026-02-10</t>
        </is>
      </c>
      <c r="C209" s="99" t="inlineStr">
        <is>
          <t>Bojangles 0914</t>
        </is>
      </c>
      <c r="D209" s="100" t="n">
        <v>12.52</v>
      </c>
      <c r="E209" s="101">
        <f>IF($C209="","",IFERROR(LOOKUP(2,1/((ISNUMBER(SEARCH('Category Rules'!$B$6:$B$125,$C209)))*('Category Rules'!$B$6:$B$125&lt;&gt;"")),'Category Rules'!$C$6:$C$125),"Uncategorized"))</f>
        <v/>
      </c>
      <c r="F209" s="108" t="n"/>
      <c r="G209" s="103">
        <f>IF($C209="","",IF($F209&lt;&gt;"",$F209,$E209))</f>
        <v/>
      </c>
      <c r="H209" s="85">
        <f>IF($B209="","",TEXT($B209,"mmm yyyy"))</f>
        <v/>
      </c>
    </row>
    <row r="210" ht="18" customHeight="1">
      <c r="A210" s="10" t="n"/>
      <c r="B210" s="98" t="inlineStr">
        <is>
          <t>2026-02-11</t>
        </is>
      </c>
      <c r="C210" s="99" t="inlineStr">
        <is>
          <t>SITE356853- CHE</t>
        </is>
      </c>
      <c r="D210" s="100" t="n">
        <v>8.619999999999999</v>
      </c>
      <c r="E210" s="104">
        <f>IF($C210="","",IFERROR(LOOKUP(2,1/((ISNUMBER(SEARCH('Category Rules'!$B$6:$B$125,$C210)))*('Category Rules'!$B$6:$B$125&lt;&gt;"")),'Category Rules'!$C$6:$C$125),"Uncategorized"))</f>
        <v/>
      </c>
      <c r="F210" s="108" t="n"/>
      <c r="G210" s="106">
        <f>IF($C210="","",IF($F210&lt;&gt;"",$F210,$E210))</f>
        <v/>
      </c>
      <c r="H210" s="82">
        <f>IF($B210="","",TEXT($B210,"mmm yyyy"))</f>
        <v/>
      </c>
    </row>
    <row r="211" ht="18" customHeight="1">
      <c r="A211" s="14" t="n"/>
      <c r="B211" s="98" t="inlineStr">
        <is>
          <t>2026-02-11</t>
        </is>
      </c>
      <c r="C211" s="99" t="inlineStr">
        <is>
          <t>VENMO *Shane Stanfiel</t>
        </is>
      </c>
      <c r="D211" s="100" t="n">
        <v>400</v>
      </c>
      <c r="E211" s="101">
        <f>IF($C211="","",IFERROR(LOOKUP(2,1/((ISNUMBER(SEARCH('Category Rules'!$B$6:$B$125,$C211)))*('Category Rules'!$B$6:$B$125&lt;&gt;"")),'Category Rules'!$C$6:$C$125),"Uncategorized"))</f>
        <v/>
      </c>
      <c r="F211" s="108" t="n"/>
      <c r="G211" s="103">
        <f>IF($C211="","",IF($F211&lt;&gt;"",$F211,$E211))</f>
        <v/>
      </c>
      <c r="H211" s="85">
        <f>IF($B211="","",TEXT($B211,"mmm yyyy"))</f>
        <v/>
      </c>
    </row>
    <row r="212" ht="18" customHeight="1">
      <c r="A212" s="10" t="n"/>
      <c r="B212" s="98" t="inlineStr">
        <is>
          <t>2026-02-12</t>
        </is>
      </c>
      <c r="C212" s="99" t="inlineStr">
        <is>
          <t>SITE356853- CHE</t>
        </is>
      </c>
      <c r="D212" s="100" t="n">
        <v>19.31</v>
      </c>
      <c r="E212" s="104">
        <f>IF($C212="","",IFERROR(LOOKUP(2,1/((ISNUMBER(SEARCH('Category Rules'!$B$6:$B$125,$C212)))*('Category Rules'!$B$6:$B$125&lt;&gt;"")),'Category Rules'!$C$6:$C$125),"Uncategorized"))</f>
        <v/>
      </c>
      <c r="F212" s="108" t="n"/>
      <c r="G212" s="106">
        <f>IF($C212="","",IF($F212&lt;&gt;"",$F212,$E212))</f>
        <v/>
      </c>
      <c r="H212" s="82">
        <f>IF($B212="","",TEXT($B212,"mmm yyyy"))</f>
        <v/>
      </c>
    </row>
    <row r="213" ht="18" customHeight="1">
      <c r="A213" s="14" t="n"/>
      <c r="B213" s="98" t="inlineStr">
        <is>
          <t>2026-02-12</t>
        </is>
      </c>
      <c r="C213" s="99" t="inlineStr">
        <is>
          <t>TIL*PL CICIS #398 CORP</t>
        </is>
      </c>
      <c r="D213" s="100" t="n">
        <v>14.28</v>
      </c>
      <c r="E213" s="101">
        <f>IF($C213="","",IFERROR(LOOKUP(2,1/((ISNUMBER(SEARCH('Category Rules'!$B$6:$B$125,$C213)))*('Category Rules'!$B$6:$B$125&lt;&gt;"")),'Category Rules'!$C$6:$C$125),"Uncategorized"))</f>
        <v/>
      </c>
      <c r="F213" s="108" t="n"/>
      <c r="G213" s="103">
        <f>IF($C213="","",IF($F213&lt;&gt;"",$F213,$E213))</f>
        <v/>
      </c>
      <c r="H213" s="85">
        <f>IF($B213="","",TEXT($B213,"mmm yyyy"))</f>
        <v/>
      </c>
    </row>
    <row r="214" ht="18" customHeight="1">
      <c r="A214" s="10" t="n"/>
      <c r="B214" s="98" t="inlineStr">
        <is>
          <t>2026-02-12</t>
        </is>
      </c>
      <c r="C214" s="99" t="inlineStr">
        <is>
          <t>Alabama Power</t>
        </is>
      </c>
      <c r="D214" s="100" t="n">
        <v>541.9</v>
      </c>
      <c r="E214" s="104">
        <f>IF($C214="","",IFERROR(LOOKUP(2,1/((ISNUMBER(SEARCH('Category Rules'!$B$6:$B$125,$C214)))*('Category Rules'!$B$6:$B$125&lt;&gt;"")),'Category Rules'!$C$6:$C$125),"Uncategorized"))</f>
        <v/>
      </c>
      <c r="F214" s="108" t="n"/>
      <c r="G214" s="106">
        <f>IF($C214="","",IF($F214&lt;&gt;"",$F214,$E214))</f>
        <v/>
      </c>
      <c r="H214" s="82">
        <f>IF($B214="","",TEXT($B214,"mmm yyyy"))</f>
        <v/>
      </c>
    </row>
    <row r="215" ht="18" customHeight="1">
      <c r="A215" s="14" t="n"/>
      <c r="B215" s="98" t="inlineStr">
        <is>
          <t>2026-02-13</t>
        </is>
      </c>
      <c r="C215" s="99" t="inlineStr">
        <is>
          <t>HT EXPRESS 4</t>
        </is>
      </c>
      <c r="D215" s="100" t="n">
        <v>6.04</v>
      </c>
      <c r="E215" s="101">
        <f>IF($C215="","",IFERROR(LOOKUP(2,1/((ISNUMBER(SEARCH('Category Rules'!$B$6:$B$125,$C215)))*('Category Rules'!$B$6:$B$125&lt;&gt;"")),'Category Rules'!$C$6:$C$125),"Uncategorized"))</f>
        <v/>
      </c>
      <c r="F215" s="108" t="n"/>
      <c r="G215" s="103">
        <f>IF($C215="","",IF($F215&lt;&gt;"",$F215,$E215))</f>
        <v/>
      </c>
      <c r="H215" s="85">
        <f>IF($B215="","",TEXT($B215,"mmm yyyy"))</f>
        <v/>
      </c>
    </row>
    <row r="216" ht="18" customHeight="1">
      <c r="A216" s="10" t="n"/>
      <c r="B216" s="98" t="inlineStr">
        <is>
          <t>2026-02-13</t>
        </is>
      </c>
      <c r="C216" s="99" t="inlineStr">
        <is>
          <t>THE GREEN STORES</t>
        </is>
      </c>
      <c r="D216" s="100" t="n">
        <v>60.15</v>
      </c>
      <c r="E216" s="104">
        <f>IF($C216="","",IFERROR(LOOKUP(2,1/((ISNUMBER(SEARCH('Category Rules'!$B$6:$B$125,$C216)))*('Category Rules'!$B$6:$B$125&lt;&gt;"")),'Category Rules'!$C$6:$C$125),"Uncategorized"))</f>
        <v/>
      </c>
      <c r="F216" s="108" t="n"/>
      <c r="G216" s="106">
        <f>IF($C216="","",IF($F216&lt;&gt;"",$F216,$E216))</f>
        <v/>
      </c>
      <c r="H216" s="82">
        <f>IF($B216="","",TEXT($B216,"mmm yyyy"))</f>
        <v/>
      </c>
    </row>
    <row r="217" ht="18" customHeight="1">
      <c r="A217" s="14" t="n"/>
      <c r="B217" s="98" t="inlineStr">
        <is>
          <t>2026-02-13</t>
        </is>
      </c>
      <c r="C217" s="99" t="inlineStr">
        <is>
          <t>W M GROCERY</t>
        </is>
      </c>
      <c r="D217" s="100" t="n">
        <v>3.2</v>
      </c>
      <c r="E217" s="101">
        <f>IF($C217="","",IFERROR(LOOKUP(2,1/((ISNUMBER(SEARCH('Category Rules'!$B$6:$B$125,$C217)))*('Category Rules'!$B$6:$B$125&lt;&gt;"")),'Category Rules'!$C$6:$C$125),"Uncategorized"))</f>
        <v/>
      </c>
      <c r="F217" s="108" t="n"/>
      <c r="G217" s="103">
        <f>IF($C217="","",IF($F217&lt;&gt;"",$F217,$E217))</f>
        <v/>
      </c>
      <c r="H217" s="85">
        <f>IF($B217="","",TEXT($B217,"mmm yyyy"))</f>
        <v/>
      </c>
    </row>
    <row r="218" ht="18" customHeight="1">
      <c r="A218" s="10" t="n"/>
      <c r="B218" s="98" t="inlineStr">
        <is>
          <t>2026-02-13</t>
        </is>
      </c>
      <c r="C218" s="99" t="inlineStr">
        <is>
          <t>TACO BELL #7029147</t>
        </is>
      </c>
      <c r="D218" s="100" t="n">
        <v>11.21</v>
      </c>
      <c r="E218" s="104">
        <f>IF($C218="","",IFERROR(LOOKUP(2,1/((ISNUMBER(SEARCH('Category Rules'!$B$6:$B$125,$C218)))*('Category Rules'!$B$6:$B$125&lt;&gt;"")),'Category Rules'!$C$6:$C$125),"Uncategorized"))</f>
        <v/>
      </c>
      <c r="F218" s="108" t="n"/>
      <c r="G218" s="106">
        <f>IF($C218="","",IF($F218&lt;&gt;"",$F218,$E218))</f>
        <v/>
      </c>
      <c r="H218" s="82">
        <f>IF($B218="","",TEXT($B218,"mmm yyyy"))</f>
        <v/>
      </c>
    </row>
    <row r="219" ht="18" customHeight="1">
      <c r="A219" s="14" t="n"/>
      <c r="B219" s="98" t="inlineStr">
        <is>
          <t>2026-02-13</t>
        </is>
      </c>
      <c r="C219" s="99" t="inlineStr">
        <is>
          <t>MCDONALD'S F6920</t>
        </is>
      </c>
      <c r="D219" s="100" t="n">
        <v>10.54</v>
      </c>
      <c r="E219" s="101">
        <f>IF($C219="","",IFERROR(LOOKUP(2,1/((ISNUMBER(SEARCH('Category Rules'!$B$6:$B$125,$C219)))*('Category Rules'!$B$6:$B$125&lt;&gt;"")),'Category Rules'!$C$6:$C$125),"Uncategorized"))</f>
        <v/>
      </c>
      <c r="F219" s="108" t="n"/>
      <c r="G219" s="103">
        <f>IF($C219="","",IF($F219&lt;&gt;"",$F219,$E219))</f>
        <v/>
      </c>
      <c r="H219" s="85">
        <f>IF($B219="","",TEXT($B219,"mmm yyyy"))</f>
        <v/>
      </c>
    </row>
    <row r="220" ht="18" customHeight="1">
      <c r="A220" s="10" t="n"/>
      <c r="B220" s="98" t="inlineStr">
        <is>
          <t>2026-02-13</t>
        </is>
      </c>
      <c r="C220" s="99" t="inlineStr">
        <is>
          <t>TST* ROCK N ROOSTER SA</t>
        </is>
      </c>
      <c r="D220" s="100" t="n">
        <v>28.11</v>
      </c>
      <c r="E220" s="104">
        <f>IF($C220="","",IFERROR(LOOKUP(2,1/((ISNUMBER(SEARCH('Category Rules'!$B$6:$B$125,$C220)))*('Category Rules'!$B$6:$B$125&lt;&gt;"")),'Category Rules'!$C$6:$C$125),"Uncategorized"))</f>
        <v/>
      </c>
      <c r="F220" s="108" t="n"/>
      <c r="G220" s="106">
        <f>IF($C220="","",IF($F220&lt;&gt;"",$F220,$E220))</f>
        <v/>
      </c>
      <c r="H220" s="82">
        <f>IF($B220="","",TEXT($B220,"mmm yyyy"))</f>
        <v/>
      </c>
    </row>
    <row r="221" ht="18" customHeight="1">
      <c r="A221" s="14" t="n"/>
      <c r="B221" s="98" t="inlineStr">
        <is>
          <t>2026-02-13</t>
        </is>
      </c>
      <c r="C221" s="99" t="inlineStr">
        <is>
          <t>sparklightacp</t>
        </is>
      </c>
      <c r="D221" s="100" t="n">
        <v>24.95</v>
      </c>
      <c r="E221" s="101">
        <f>IF($C221="","",IFERROR(LOOKUP(2,1/((ISNUMBER(SEARCH('Category Rules'!$B$6:$B$125,$C221)))*('Category Rules'!$B$6:$B$125&lt;&gt;"")),'Category Rules'!$C$6:$C$125),"Uncategorized"))</f>
        <v/>
      </c>
      <c r="F221" s="108" t="n"/>
      <c r="G221" s="103">
        <f>IF($C221="","",IF($F221&lt;&gt;"",$F221,$E221))</f>
        <v/>
      </c>
      <c r="H221" s="85">
        <f>IF($B221="","",TEXT($B221,"mmm yyyy"))</f>
        <v/>
      </c>
    </row>
    <row r="222" ht="18" customHeight="1">
      <c r="A222" s="10" t="n"/>
      <c r="B222" s="98" t="inlineStr">
        <is>
          <t>2026-02-14</t>
        </is>
      </c>
      <c r="C222" s="99" t="inlineStr">
        <is>
          <t>W. M. GROCERY</t>
        </is>
      </c>
      <c r="D222" s="100" t="n">
        <v>1.39</v>
      </c>
      <c r="E222" s="104">
        <f>IF($C222="","",IFERROR(LOOKUP(2,1/((ISNUMBER(SEARCH('Category Rules'!$B$6:$B$125,$C222)))*('Category Rules'!$B$6:$B$125&lt;&gt;"")),'Category Rules'!$C$6:$C$125),"Uncategorized"))</f>
        <v/>
      </c>
      <c r="F222" s="108" t="n"/>
      <c r="G222" s="106">
        <f>IF($C222="","",IF($F222&lt;&gt;"",$F222,$E222))</f>
        <v/>
      </c>
      <c r="H222" s="82">
        <f>IF($B222="","",TEXT($B222,"mmm yyyy"))</f>
        <v/>
      </c>
    </row>
    <row r="223" ht="18" customHeight="1">
      <c r="A223" s="14" t="n"/>
      <c r="B223" s="98" t="inlineStr">
        <is>
          <t>2026-02-14</t>
        </is>
      </c>
      <c r="C223" s="99" t="inlineStr">
        <is>
          <t>W. M. GROCERY</t>
        </is>
      </c>
      <c r="D223" s="100" t="n">
        <v>14.02</v>
      </c>
      <c r="E223" s="101">
        <f>IF($C223="","",IFERROR(LOOKUP(2,1/((ISNUMBER(SEARCH('Category Rules'!$B$6:$B$125,$C223)))*('Category Rules'!$B$6:$B$125&lt;&gt;"")),'Category Rules'!$C$6:$C$125),"Uncategorized"))</f>
        <v/>
      </c>
      <c r="F223" s="108" t="n"/>
      <c r="G223" s="103">
        <f>IF($C223="","",IF($F223&lt;&gt;"",$F223,$E223))</f>
        <v/>
      </c>
      <c r="H223" s="85">
        <f>IF($B223="","",TEXT($B223,"mmm yyyy"))</f>
        <v/>
      </c>
    </row>
    <row r="224" ht="18" customHeight="1">
      <c r="A224" s="10" t="n"/>
      <c r="B224" s="98" t="inlineStr">
        <is>
          <t>2026-02-14</t>
        </is>
      </c>
      <c r="C224" s="99" t="inlineStr">
        <is>
          <t>PIGGLY WIGGLY #</t>
        </is>
      </c>
      <c r="D224" s="100" t="n">
        <v>1.96</v>
      </c>
      <c r="E224" s="104">
        <f>IF($C224="","",IFERROR(LOOKUP(2,1/((ISNUMBER(SEARCH('Category Rules'!$B$6:$B$125,$C224)))*('Category Rules'!$B$6:$B$125&lt;&gt;"")),'Category Rules'!$C$6:$C$125),"Uncategorized"))</f>
        <v/>
      </c>
      <c r="F224" s="108" t="n"/>
      <c r="G224" s="106">
        <f>IF($C224="","",IF($F224&lt;&gt;"",$F224,$E224))</f>
        <v/>
      </c>
      <c r="H224" s="82">
        <f>IF($B224="","",TEXT($B224,"mmm yyyy"))</f>
        <v/>
      </c>
    </row>
    <row r="225" ht="18" customHeight="1">
      <c r="A225" s="14" t="n"/>
      <c r="B225" s="98" t="inlineStr">
        <is>
          <t>2026-02-14</t>
        </is>
      </c>
      <c r="C225" s="99" t="inlineStr">
        <is>
          <t>CHEATWOOD SERVIC</t>
        </is>
      </c>
      <c r="D225" s="100" t="n">
        <v>4.57</v>
      </c>
      <c r="E225" s="101">
        <f>IF($C225="","",IFERROR(LOOKUP(2,1/((ISNUMBER(SEARCH('Category Rules'!$B$6:$B$125,$C225)))*('Category Rules'!$B$6:$B$125&lt;&gt;"")),'Category Rules'!$C$6:$C$125),"Uncategorized"))</f>
        <v/>
      </c>
      <c r="F225" s="108" t="n"/>
      <c r="G225" s="103">
        <f>IF($C225="","",IF($F225&lt;&gt;"",$F225,$E225))</f>
        <v/>
      </c>
      <c r="H225" s="85">
        <f>IF($B225="","",TEXT($B225,"mmm yyyy"))</f>
        <v/>
      </c>
    </row>
    <row r="226" ht="18" customHeight="1">
      <c r="A226" s="10" t="n"/>
      <c r="B226" s="98" t="inlineStr">
        <is>
          <t>2026-02-14</t>
        </is>
      </c>
      <c r="C226" s="99" t="inlineStr">
        <is>
          <t>W M GROCERY</t>
        </is>
      </c>
      <c r="D226" s="100" t="n">
        <v>3.2</v>
      </c>
      <c r="E226" s="104">
        <f>IF($C226="","",IFERROR(LOOKUP(2,1/((ISNUMBER(SEARCH('Category Rules'!$B$6:$B$125,$C226)))*('Category Rules'!$B$6:$B$125&lt;&gt;"")),'Category Rules'!$C$6:$C$125),"Uncategorized"))</f>
        <v/>
      </c>
      <c r="F226" s="108" t="n"/>
      <c r="G226" s="106">
        <f>IF($C226="","",IF($F226&lt;&gt;"",$F226,$E226))</f>
        <v/>
      </c>
      <c r="H226" s="82">
        <f>IF($B226="","",TEXT($B226,"mmm yyyy"))</f>
        <v/>
      </c>
    </row>
    <row r="227" ht="18" customHeight="1">
      <c r="A227" s="14" t="n"/>
      <c r="B227" s="98" t="inlineStr">
        <is>
          <t>2026-02-14</t>
        </is>
      </c>
      <c r="C227" s="99" t="inlineStr">
        <is>
          <t>ZAXBY'S #34001</t>
        </is>
      </c>
      <c r="D227" s="100" t="n">
        <v>13.17</v>
      </c>
      <c r="E227" s="101">
        <f>IF($C227="","",IFERROR(LOOKUP(2,1/((ISNUMBER(SEARCH('Category Rules'!$B$6:$B$125,$C227)))*('Category Rules'!$B$6:$B$125&lt;&gt;"")),'Category Rules'!$C$6:$C$125),"Uncategorized"))</f>
        <v/>
      </c>
      <c r="F227" s="108" t="n"/>
      <c r="G227" s="103">
        <f>IF($C227="","",IF($F227&lt;&gt;"",$F227,$E227))</f>
        <v/>
      </c>
      <c r="H227" s="85">
        <f>IF($B227="","",TEXT($B227,"mmm yyyy"))</f>
        <v/>
      </c>
    </row>
    <row r="228" ht="18" customHeight="1">
      <c r="A228" s="10" t="n"/>
      <c r="B228" s="98" t="inlineStr">
        <is>
          <t>2026-02-14</t>
        </is>
      </c>
      <c r="C228" s="99" t="inlineStr">
        <is>
          <t>SQ *JASMYNE TURNER</t>
        </is>
      </c>
      <c r="D228" s="100" t="n">
        <v>30</v>
      </c>
      <c r="E228" s="104">
        <f>IF($C228="","",IFERROR(LOOKUP(2,1/((ISNUMBER(SEARCH('Category Rules'!$B$6:$B$125,$C228)))*('Category Rules'!$B$6:$B$125&lt;&gt;"")),'Category Rules'!$C$6:$C$125),"Uncategorized"))</f>
        <v/>
      </c>
      <c r="F228" s="108" t="n"/>
      <c r="G228" s="106">
        <f>IF($C228="","",IF($F228&lt;&gt;"",$F228,$E228))</f>
        <v/>
      </c>
      <c r="H228" s="82">
        <f>IF($B228="","",TEXT($B228,"mmm yyyy"))</f>
        <v/>
      </c>
    </row>
    <row r="229" ht="18" customHeight="1">
      <c r="A229" s="14" t="n"/>
      <c r="B229" s="98" t="inlineStr">
        <is>
          <t>2026-02-14</t>
        </is>
      </c>
      <c r="C229" s="99" t="inlineStr">
        <is>
          <t>LITTLE CAESARS 3412005</t>
        </is>
      </c>
      <c r="D229" s="100" t="n">
        <v>7.14</v>
      </c>
      <c r="E229" s="101">
        <f>IF($C229="","",IFERROR(LOOKUP(2,1/((ISNUMBER(SEARCH('Category Rules'!$B$6:$B$125,$C229)))*('Category Rules'!$B$6:$B$125&lt;&gt;"")),'Category Rules'!$C$6:$C$125),"Uncategorized"))</f>
        <v/>
      </c>
      <c r="F229" s="108" t="n"/>
      <c r="G229" s="103">
        <f>IF($C229="","",IF($F229&lt;&gt;"",$F229,$E229))</f>
        <v/>
      </c>
      <c r="H229" s="85">
        <f>IF($B229="","",TEXT($B229,"mmm yyyy"))</f>
        <v/>
      </c>
    </row>
    <row r="230" ht="18" customHeight="1">
      <c r="A230" s="10" t="n"/>
      <c r="B230" s="98" t="inlineStr">
        <is>
          <t>2026-02-14</t>
        </is>
      </c>
      <c r="C230" s="99" t="inlineStr">
        <is>
          <t>TST* ROCK N ROOSTER SA</t>
        </is>
      </c>
      <c r="D230" s="100" t="n">
        <v>18.24</v>
      </c>
      <c r="E230" s="104">
        <f>IF($C230="","",IFERROR(LOOKUP(2,1/((ISNUMBER(SEARCH('Category Rules'!$B$6:$B$125,$C230)))*('Category Rules'!$B$6:$B$125&lt;&gt;"")),'Category Rules'!$C$6:$C$125),"Uncategorized"))</f>
        <v/>
      </c>
      <c r="F230" s="108" t="n"/>
      <c r="G230" s="106">
        <f>IF($C230="","",IF($F230&lt;&gt;"",$F230,$E230))</f>
        <v/>
      </c>
      <c r="H230" s="82">
        <f>IF($B230="","",TEXT($B230,"mmm yyyy"))</f>
        <v/>
      </c>
    </row>
    <row r="231" ht="18" customHeight="1">
      <c r="A231" s="14" t="n"/>
      <c r="B231" s="98" t="inlineStr">
        <is>
          <t>2026-02-14</t>
        </is>
      </c>
      <c r="C231" s="99" t="inlineStr">
        <is>
          <t>TST* ROCK N ROOSTER SA</t>
        </is>
      </c>
      <c r="D231" s="100" t="n">
        <v>22.64</v>
      </c>
      <c r="E231" s="101">
        <f>IF($C231="","",IFERROR(LOOKUP(2,1/((ISNUMBER(SEARCH('Category Rules'!$B$6:$B$125,$C231)))*('Category Rules'!$B$6:$B$125&lt;&gt;"")),'Category Rules'!$C$6:$C$125),"Uncategorized"))</f>
        <v/>
      </c>
      <c r="F231" s="108" t="n"/>
      <c r="G231" s="103">
        <f>IF($C231="","",IF($F231&lt;&gt;"",$F231,$E231))</f>
        <v/>
      </c>
      <c r="H231" s="85">
        <f>IF($B231="","",TEXT($B231,"mmm yyyy"))</f>
        <v/>
      </c>
    </row>
    <row r="232" ht="18" customHeight="1">
      <c r="A232" s="10" t="n"/>
      <c r="B232" s="98" t="inlineStr">
        <is>
          <t>2026-02-14</t>
        </is>
      </c>
      <c r="C232" s="99" t="inlineStr">
        <is>
          <t>TST* ROCK N ROOSTER SA</t>
        </is>
      </c>
      <c r="D232" s="100" t="n">
        <v>10.8</v>
      </c>
      <c r="E232" s="104">
        <f>IF($C232="","",IFERROR(LOOKUP(2,1/((ISNUMBER(SEARCH('Category Rules'!$B$6:$B$125,$C232)))*('Category Rules'!$B$6:$B$125&lt;&gt;"")),'Category Rules'!$C$6:$C$125),"Uncategorized"))</f>
        <v/>
      </c>
      <c r="F232" s="108" t="n"/>
      <c r="G232" s="106">
        <f>IF($C232="","",IF($F232&lt;&gt;"",$F232,$E232))</f>
        <v/>
      </c>
      <c r="H232" s="82">
        <f>IF($B232="","",TEXT($B232,"mmm yyyy"))</f>
        <v/>
      </c>
    </row>
    <row r="233" ht="18" customHeight="1">
      <c r="A233" s="14" t="n"/>
      <c r="B233" s="98" t="inlineStr">
        <is>
          <t>2026-02-14</t>
        </is>
      </c>
      <c r="C233" s="99" t="inlineStr">
        <is>
          <t>TST* ROCK N ROOSTER SA</t>
        </is>
      </c>
      <c r="D233" s="100" t="n">
        <v>9.800000000000001</v>
      </c>
      <c r="E233" s="101">
        <f>IF($C233="","",IFERROR(LOOKUP(2,1/((ISNUMBER(SEARCH('Category Rules'!$B$6:$B$125,$C233)))*('Category Rules'!$B$6:$B$125&lt;&gt;"")),'Category Rules'!$C$6:$C$125),"Uncategorized"))</f>
        <v/>
      </c>
      <c r="F233" s="108" t="n"/>
      <c r="G233" s="103">
        <f>IF($C233="","",IF($F233&lt;&gt;"",$F233,$E233))</f>
        <v/>
      </c>
      <c r="H233" s="85">
        <f>IF($B233="","",TEXT($B233,"mmm yyyy"))</f>
        <v/>
      </c>
    </row>
    <row r="234" ht="18" customHeight="1">
      <c r="A234" s="10" t="n"/>
      <c r="B234" s="98" t="inlineStr">
        <is>
          <t>2026-02-15</t>
        </is>
      </c>
      <c r="C234" s="99" t="inlineStr">
        <is>
          <t>DORSEY'S SUPERM</t>
        </is>
      </c>
      <c r="D234" s="100" t="n">
        <v>2.13</v>
      </c>
      <c r="E234" s="104">
        <f>IF($C234="","",IFERROR(LOOKUP(2,1/((ISNUMBER(SEARCH('Category Rules'!$B$6:$B$125,$C234)))*('Category Rules'!$B$6:$B$125&lt;&gt;"")),'Category Rules'!$C$6:$C$125),"Uncategorized"))</f>
        <v/>
      </c>
      <c r="F234" s="108" t="n"/>
      <c r="G234" s="106">
        <f>IF($C234="","",IF($F234&lt;&gt;"",$F234,$E234))</f>
        <v/>
      </c>
      <c r="H234" s="82">
        <f>IF($B234="","",TEXT($B234,"mmm yyyy"))</f>
        <v/>
      </c>
    </row>
    <row r="235" ht="18" customHeight="1">
      <c r="A235" s="14" t="n"/>
      <c r="B235" s="98" t="inlineStr">
        <is>
          <t>2026-02-15</t>
        </is>
      </c>
      <c r="C235" s="99" t="inlineStr">
        <is>
          <t>PIC'N SAVE #248</t>
        </is>
      </c>
      <c r="D235" s="100" t="n">
        <v>10.76</v>
      </c>
      <c r="E235" s="101">
        <f>IF($C235="","",IFERROR(LOOKUP(2,1/((ISNUMBER(SEARCH('Category Rules'!$B$6:$B$125,$C235)))*('Category Rules'!$B$6:$B$125&lt;&gt;"")),'Category Rules'!$C$6:$C$125),"Uncategorized"))</f>
        <v/>
      </c>
      <c r="F235" s="108" t="n"/>
      <c r="G235" s="103">
        <f>IF($C235="","",IF($F235&lt;&gt;"",$F235,$E235))</f>
        <v/>
      </c>
      <c r="H235" s="85">
        <f>IF($B235="","",TEXT($B235,"mmm yyyy"))</f>
        <v/>
      </c>
    </row>
    <row r="236" ht="18" customHeight="1">
      <c r="A236" s="10" t="n"/>
      <c r="B236" s="98" t="inlineStr">
        <is>
          <t>2026-02-15</t>
        </is>
      </c>
      <c r="C236" s="99" t="inlineStr">
        <is>
          <t>PIC'N SAVE #248</t>
        </is>
      </c>
      <c r="D236" s="100" t="n">
        <v>11.97</v>
      </c>
      <c r="E236" s="104">
        <f>IF($C236="","",IFERROR(LOOKUP(2,1/((ISNUMBER(SEARCH('Category Rules'!$B$6:$B$125,$C236)))*('Category Rules'!$B$6:$B$125&lt;&gt;"")),'Category Rules'!$C$6:$C$125),"Uncategorized"))</f>
        <v/>
      </c>
      <c r="F236" s="108" t="n"/>
      <c r="G236" s="106">
        <f>IF($C236="","",IF($F236&lt;&gt;"",$F236,$E236))</f>
        <v/>
      </c>
      <c r="H236" s="82">
        <f>IF($B236="","",TEXT($B236,"mmm yyyy"))</f>
        <v/>
      </c>
    </row>
    <row r="237" ht="18" customHeight="1">
      <c r="A237" s="14" t="n"/>
      <c r="B237" s="98" t="inlineStr">
        <is>
          <t>2026-02-15</t>
        </is>
      </c>
      <c r="C237" s="99" t="inlineStr">
        <is>
          <t>WHATABURGER 1492</t>
        </is>
      </c>
      <c r="D237" s="100" t="n">
        <v>14.95</v>
      </c>
      <c r="E237" s="101">
        <f>IF($C237="","",IFERROR(LOOKUP(2,1/((ISNUMBER(SEARCH('Category Rules'!$B$6:$B$125,$C237)))*('Category Rules'!$B$6:$B$125&lt;&gt;"")),'Category Rules'!$C$6:$C$125),"Uncategorized"))</f>
        <v/>
      </c>
      <c r="F237" s="108" t="n"/>
      <c r="G237" s="103">
        <f>IF($C237="","",IF($F237&lt;&gt;"",$F237,$E237))</f>
        <v/>
      </c>
      <c r="H237" s="85">
        <f>IF($B237="","",TEXT($B237,"mmm yyyy"))</f>
        <v/>
      </c>
    </row>
    <row r="238" ht="18" customHeight="1">
      <c r="A238" s="10" t="n"/>
      <c r="B238" s="98" t="inlineStr">
        <is>
          <t>2026-02-16</t>
        </is>
      </c>
      <c r="C238" s="99" t="inlineStr">
        <is>
          <t>WM SUPERCENTER #809</t>
        </is>
      </c>
      <c r="D238" s="100" t="n">
        <v>36.08</v>
      </c>
      <c r="E238" s="104">
        <f>IF($C238="","",IFERROR(LOOKUP(2,1/((ISNUMBER(SEARCH('Category Rules'!$B$6:$B$125,$C238)))*('Category Rules'!$B$6:$B$125&lt;&gt;"")),'Category Rules'!$C$6:$C$125),"Uncategorized"))</f>
        <v/>
      </c>
      <c r="F238" s="108" t="n"/>
      <c r="G238" s="106">
        <f>IF($C238="","",IF($F238&lt;&gt;"",$F238,$E238))</f>
        <v/>
      </c>
      <c r="H238" s="82">
        <f>IF($B238="","",TEXT($B238,"mmm yyyy"))</f>
        <v/>
      </c>
    </row>
    <row r="239" ht="18" customHeight="1">
      <c r="A239" s="14" t="n"/>
      <c r="B239" s="98" t="inlineStr">
        <is>
          <t>2026-02-16</t>
        </is>
      </c>
      <c r="C239" s="99" t="inlineStr">
        <is>
          <t>OXFORD CHEVRON</t>
        </is>
      </c>
      <c r="D239" s="100" t="n">
        <v>30</v>
      </c>
      <c r="E239" s="101">
        <f>IF($C239="","",IFERROR(LOOKUP(2,1/((ISNUMBER(SEARCH('Category Rules'!$B$6:$B$125,$C239)))*('Category Rules'!$B$6:$B$125&lt;&gt;"")),'Category Rules'!$C$6:$C$125),"Uncategorized"))</f>
        <v/>
      </c>
      <c r="F239" s="108" t="n"/>
      <c r="G239" s="103">
        <f>IF($C239="","",IF($F239&lt;&gt;"",$F239,$E239))</f>
        <v/>
      </c>
      <c r="H239" s="85">
        <f>IF($B239="","",TEXT($B239,"mmm yyyy"))</f>
        <v/>
      </c>
    </row>
    <row r="240" ht="18" customHeight="1">
      <c r="A240" s="10" t="n"/>
      <c r="B240" s="98" t="inlineStr">
        <is>
          <t>2026-02-16</t>
        </is>
      </c>
      <c r="C240" s="99" t="inlineStr">
        <is>
          <t>OXFORD CHEVRON</t>
        </is>
      </c>
      <c r="D240" s="100" t="n">
        <v>3.94</v>
      </c>
      <c r="E240" s="104">
        <f>IF($C240="","",IFERROR(LOOKUP(2,1/((ISNUMBER(SEARCH('Category Rules'!$B$6:$B$125,$C240)))*('Category Rules'!$B$6:$B$125&lt;&gt;"")),'Category Rules'!$C$6:$C$125),"Uncategorized"))</f>
        <v/>
      </c>
      <c r="F240" s="108" t="n"/>
      <c r="G240" s="106">
        <f>IF($C240="","",IF($F240&lt;&gt;"",$F240,$E240))</f>
        <v/>
      </c>
      <c r="H240" s="82">
        <f>IF($B240="","",TEXT($B240,"mmm yyyy"))</f>
        <v/>
      </c>
    </row>
    <row r="241" ht="18" customHeight="1">
      <c r="A241" s="14" t="n"/>
      <c r="B241" s="98" t="inlineStr">
        <is>
          <t>2026-02-16</t>
        </is>
      </c>
      <c r="C241" s="99" t="inlineStr">
        <is>
          <t>DORSEY'S SUPERM</t>
        </is>
      </c>
      <c r="D241" s="100" t="n">
        <v>2.97</v>
      </c>
      <c r="E241" s="101">
        <f>IF($C241="","",IFERROR(LOOKUP(2,1/((ISNUMBER(SEARCH('Category Rules'!$B$6:$B$125,$C241)))*('Category Rules'!$B$6:$B$125&lt;&gt;"")),'Category Rules'!$C$6:$C$125),"Uncategorized"))</f>
        <v/>
      </c>
      <c r="F241" s="108" t="n"/>
      <c r="G241" s="103">
        <f>IF($C241="","",IF($F241&lt;&gt;"",$F241,$E241))</f>
        <v/>
      </c>
      <c r="H241" s="85">
        <f>IF($B241="","",TEXT($B241,"mmm yyyy"))</f>
        <v/>
      </c>
    </row>
    <row r="242" ht="18" customHeight="1">
      <c r="A242" s="10" t="n"/>
      <c r="B242" s="98" t="inlineStr">
        <is>
          <t>2026-02-16</t>
        </is>
      </c>
      <c r="C242" s="99" t="inlineStr">
        <is>
          <t>SITE358559 - TE</t>
        </is>
      </c>
      <c r="D242" s="100" t="n">
        <v>6.49</v>
      </c>
      <c r="E242" s="104">
        <f>IF($C242="","",IFERROR(LOOKUP(2,1/((ISNUMBER(SEARCH('Category Rules'!$B$6:$B$125,$C242)))*('Category Rules'!$B$6:$B$125&lt;&gt;"")),'Category Rules'!$C$6:$C$125),"Uncategorized"))</f>
        <v/>
      </c>
      <c r="F242" s="108" t="n"/>
      <c r="G242" s="106">
        <f>IF($C242="","",IF($F242&lt;&gt;"",$F242,$E242))</f>
        <v/>
      </c>
      <c r="H242" s="82">
        <f>IF($B242="","",TEXT($B242,"mmm yyyy"))</f>
        <v/>
      </c>
    </row>
    <row r="243" ht="18" customHeight="1">
      <c r="A243" s="14" t="n"/>
      <c r="B243" s="98" t="inlineStr">
        <is>
          <t>2026-02-16</t>
        </is>
      </c>
      <c r="C243" s="99" t="inlineStr">
        <is>
          <t>PIC'N SAVE #248</t>
        </is>
      </c>
      <c r="D243" s="100" t="n">
        <v>2.01</v>
      </c>
      <c r="E243" s="101">
        <f>IF($C243="","",IFERROR(LOOKUP(2,1/((ISNUMBER(SEARCH('Category Rules'!$B$6:$B$125,$C243)))*('Category Rules'!$B$6:$B$125&lt;&gt;"")),'Category Rules'!$C$6:$C$125),"Uncategorized"))</f>
        <v/>
      </c>
      <c r="F243" s="108" t="n"/>
      <c r="G243" s="103">
        <f>IF($C243="","",IF($F243&lt;&gt;"",$F243,$E243))</f>
        <v/>
      </c>
      <c r="H243" s="85">
        <f>IF($B243="","",TEXT($B243,"mmm yyyy"))</f>
        <v/>
      </c>
    </row>
    <row r="244" ht="18" customHeight="1">
      <c r="A244" s="10" t="n"/>
      <c r="B244" s="98" t="inlineStr">
        <is>
          <t>2026-02-16</t>
        </is>
      </c>
      <c r="C244" s="99" t="inlineStr">
        <is>
          <t>PIC'N SAVE #248</t>
        </is>
      </c>
      <c r="D244" s="100" t="n">
        <v>8.08</v>
      </c>
      <c r="E244" s="104">
        <f>IF($C244="","",IFERROR(LOOKUP(2,1/((ISNUMBER(SEARCH('Category Rules'!$B$6:$B$125,$C244)))*('Category Rules'!$B$6:$B$125&lt;&gt;"")),'Category Rules'!$C$6:$C$125),"Uncategorized"))</f>
        <v/>
      </c>
      <c r="F244" s="108" t="n"/>
      <c r="G244" s="106">
        <f>IF($C244="","",IF($F244&lt;&gt;"",$F244,$E244))</f>
        <v/>
      </c>
      <c r="H244" s="82">
        <f>IF($B244="","",TEXT($B244,"mmm yyyy"))</f>
        <v/>
      </c>
    </row>
    <row r="245" ht="18" customHeight="1">
      <c r="A245" s="14" t="n"/>
      <c r="B245" s="98" t="inlineStr">
        <is>
          <t>2026-02-16</t>
        </is>
      </c>
      <c r="C245" s="99" t="inlineStr">
        <is>
          <t>PIC'N SAVE #248</t>
        </is>
      </c>
      <c r="D245" s="100" t="n">
        <v>2.51</v>
      </c>
      <c r="E245" s="101">
        <f>IF($C245="","",IFERROR(LOOKUP(2,1/((ISNUMBER(SEARCH('Category Rules'!$B$6:$B$125,$C245)))*('Category Rules'!$B$6:$B$125&lt;&gt;"")),'Category Rules'!$C$6:$C$125),"Uncategorized"))</f>
        <v/>
      </c>
      <c r="F245" s="108" t="n"/>
      <c r="G245" s="103">
        <f>IF($C245="","",IF($F245&lt;&gt;"",$F245,$E245))</f>
        <v/>
      </c>
      <c r="H245" s="85">
        <f>IF($B245="","",TEXT($B245,"mmm yyyy"))</f>
        <v/>
      </c>
    </row>
    <row r="246" ht="18" customHeight="1">
      <c r="A246" s="10" t="n"/>
      <c r="B246" s="98" t="inlineStr">
        <is>
          <t>2026-02-16</t>
        </is>
      </c>
      <c r="C246" s="99" t="inlineStr">
        <is>
          <t>PAK A SAK</t>
        </is>
      </c>
      <c r="D246" s="100" t="n">
        <v>3.43</v>
      </c>
      <c r="E246" s="104">
        <f>IF($C246="","",IFERROR(LOOKUP(2,1/((ISNUMBER(SEARCH('Category Rules'!$B$6:$B$125,$C246)))*('Category Rules'!$B$6:$B$125&lt;&gt;"")),'Category Rules'!$C$6:$C$125),"Uncategorized"))</f>
        <v/>
      </c>
      <c r="F246" s="108" t="n"/>
      <c r="G246" s="106">
        <f>IF($C246="","",IF($F246&lt;&gt;"",$F246,$E246))</f>
        <v/>
      </c>
      <c r="H246" s="82">
        <f>IF($B246="","",TEXT($B246,"mmm yyyy"))</f>
        <v/>
      </c>
    </row>
    <row r="247" ht="18" customHeight="1">
      <c r="A247" s="14" t="n"/>
      <c r="B247" s="98" t="inlineStr">
        <is>
          <t>2026-02-16</t>
        </is>
      </c>
      <c r="C247" s="99" t="inlineStr">
        <is>
          <t>JACK'S #156 HEFLIN</t>
        </is>
      </c>
      <c r="D247" s="100" t="n">
        <v>4.68</v>
      </c>
      <c r="E247" s="101">
        <f>IF($C247="","",IFERROR(LOOKUP(2,1/((ISNUMBER(SEARCH('Category Rules'!$B$6:$B$125,$C247)))*('Category Rules'!$B$6:$B$125&lt;&gt;"")),'Category Rules'!$C$6:$C$125),"Uncategorized"))</f>
        <v/>
      </c>
      <c r="F247" s="108" t="n"/>
      <c r="G247" s="103">
        <f>IF($C247="","",IF($F247&lt;&gt;"",$F247,$E247))</f>
        <v/>
      </c>
      <c r="H247" s="85">
        <f>IF($B247="","",TEXT($B247,"mmm yyyy"))</f>
        <v/>
      </c>
    </row>
    <row r="248" ht="18" customHeight="1">
      <c r="A248" s="10" t="n"/>
      <c r="B248" s="98" t="inlineStr">
        <is>
          <t>2026-02-16</t>
        </is>
      </c>
      <c r="C248" s="99" t="inlineStr">
        <is>
          <t>JACK'S #200</t>
        </is>
      </c>
      <c r="D248" s="100" t="n">
        <v>10</v>
      </c>
      <c r="E248" s="104">
        <f>IF($C248="","",IFERROR(LOOKUP(2,1/((ISNUMBER(SEARCH('Category Rules'!$B$6:$B$125,$C248)))*('Category Rules'!$B$6:$B$125&lt;&gt;"")),'Category Rules'!$C$6:$C$125),"Uncategorized"))</f>
        <v/>
      </c>
      <c r="F248" s="108" t="n"/>
      <c r="G248" s="106">
        <f>IF($C248="","",IF($F248&lt;&gt;"",$F248,$E248))</f>
        <v/>
      </c>
      <c r="H248" s="82">
        <f>IF($B248="","",TEXT($B248,"mmm yyyy"))</f>
        <v/>
      </c>
    </row>
    <row r="249" ht="18" customHeight="1">
      <c r="A249" s="14" t="n"/>
      <c r="B249" s="98" t="inlineStr">
        <is>
          <t>2026-02-16</t>
        </is>
      </c>
      <c r="C249" s="99" t="inlineStr">
        <is>
          <t>WHATABURGER 1492</t>
        </is>
      </c>
      <c r="D249" s="100" t="n">
        <v>16.38</v>
      </c>
      <c r="E249" s="101">
        <f>IF($C249="","",IFERROR(LOOKUP(2,1/((ISNUMBER(SEARCH('Category Rules'!$B$6:$B$125,$C249)))*('Category Rules'!$B$6:$B$125&lt;&gt;"")),'Category Rules'!$C$6:$C$125),"Uncategorized"))</f>
        <v/>
      </c>
      <c r="F249" s="108" t="n"/>
      <c r="G249" s="103">
        <f>IF($C249="","",IF($F249&lt;&gt;"",$F249,$E249))</f>
        <v/>
      </c>
      <c r="H249" s="85">
        <f>IF($B249="","",TEXT($B249,"mmm yyyy"))</f>
        <v/>
      </c>
    </row>
    <row r="250" ht="18" customHeight="1">
      <c r="A250" s="10" t="n"/>
      <c r="B250" s="98" t="inlineStr">
        <is>
          <t>2026-02-16</t>
        </is>
      </c>
      <c r="C250" s="99" t="inlineStr">
        <is>
          <t>TST* ROCK N ROOSTER SA</t>
        </is>
      </c>
      <c r="D250" s="100" t="n">
        <v>42.5</v>
      </c>
      <c r="E250" s="104">
        <f>IF($C250="","",IFERROR(LOOKUP(2,1/((ISNUMBER(SEARCH('Category Rules'!$B$6:$B$125,$C250)))*('Category Rules'!$B$6:$B$125&lt;&gt;"")),'Category Rules'!$C$6:$C$125),"Uncategorized"))</f>
        <v/>
      </c>
      <c r="F250" s="108" t="n"/>
      <c r="G250" s="106">
        <f>IF($C250="","",IF($F250&lt;&gt;"",$F250,$E250))</f>
        <v/>
      </c>
      <c r="H250" s="82">
        <f>IF($B250="","",TEXT($B250,"mmm yyyy"))</f>
        <v/>
      </c>
    </row>
    <row r="251" ht="18" customHeight="1">
      <c r="A251" s="14" t="n"/>
      <c r="B251" s="98" t="inlineStr">
        <is>
          <t>2026-02-16</t>
        </is>
      </c>
      <c r="C251" s="99" t="inlineStr">
        <is>
          <t>MCDONALD'S F6920</t>
        </is>
      </c>
      <c r="D251" s="100" t="n">
        <v>10.54</v>
      </c>
      <c r="E251" s="101">
        <f>IF($C251="","",IFERROR(LOOKUP(2,1/((ISNUMBER(SEARCH('Category Rules'!$B$6:$B$125,$C251)))*('Category Rules'!$B$6:$B$125&lt;&gt;"")),'Category Rules'!$C$6:$C$125),"Uncategorized"))</f>
        <v/>
      </c>
      <c r="F251" s="108" t="n"/>
      <c r="G251" s="103">
        <f>IF($C251="","",IF($F251&lt;&gt;"",$F251,$E251))</f>
        <v/>
      </c>
      <c r="H251" s="85">
        <f>IF($B251="","",TEXT($B251,"mmm yyyy"))</f>
        <v/>
      </c>
    </row>
    <row r="252" ht="18" customHeight="1">
      <c r="A252" s="10" t="n"/>
      <c r="B252" s="98" t="inlineStr">
        <is>
          <t>2026-02-17</t>
        </is>
      </c>
      <c r="C252" s="99" t="inlineStr">
        <is>
          <t>DOLLAR GENERAL # DG 304</t>
        </is>
      </c>
      <c r="D252" s="100" t="n">
        <v>13.09</v>
      </c>
      <c r="E252" s="104">
        <f>IF($C252="","",IFERROR(LOOKUP(2,1/((ISNUMBER(SEARCH('Category Rules'!$B$6:$B$125,$C252)))*('Category Rules'!$B$6:$B$125&lt;&gt;"")),'Category Rules'!$C$6:$C$125),"Uncategorized"))</f>
        <v/>
      </c>
      <c r="F252" s="108" t="n"/>
      <c r="G252" s="106">
        <f>IF($C252="","",IF($F252&lt;&gt;"",$F252,$E252))</f>
        <v/>
      </c>
      <c r="H252" s="82">
        <f>IF($B252="","",TEXT($B252,"mmm yyyy"))</f>
        <v/>
      </c>
    </row>
    <row r="253" ht="18" customHeight="1">
      <c r="A253" s="14" t="n"/>
      <c r="B253" s="98" t="inlineStr">
        <is>
          <t>2026-02-17</t>
        </is>
      </c>
      <c r="C253" s="99" t="inlineStr">
        <is>
          <t>DORSEY'S SUPERM</t>
        </is>
      </c>
      <c r="D253" s="100" t="n">
        <v>29.7</v>
      </c>
      <c r="E253" s="101">
        <f>IF($C253="","",IFERROR(LOOKUP(2,1/((ISNUMBER(SEARCH('Category Rules'!$B$6:$B$125,$C253)))*('Category Rules'!$B$6:$B$125&lt;&gt;"")),'Category Rules'!$C$6:$C$125),"Uncategorized"))</f>
        <v/>
      </c>
      <c r="F253" s="108" t="n"/>
      <c r="G253" s="103">
        <f>IF($C253="","",IF($F253&lt;&gt;"",$F253,$E253))</f>
        <v/>
      </c>
      <c r="H253" s="85">
        <f>IF($B253="","",TEXT($B253,"mmm yyyy"))</f>
        <v/>
      </c>
    </row>
    <row r="254" ht="18" customHeight="1">
      <c r="A254" s="10" t="n"/>
      <c r="B254" s="98" t="inlineStr">
        <is>
          <t>2026-02-17</t>
        </is>
      </c>
      <c r="C254" s="99" t="inlineStr">
        <is>
          <t>PIC'N SAVE #248</t>
        </is>
      </c>
      <c r="D254" s="100" t="n">
        <v>2.51</v>
      </c>
      <c r="E254" s="104">
        <f>IF($C254="","",IFERROR(LOOKUP(2,1/((ISNUMBER(SEARCH('Category Rules'!$B$6:$B$125,$C254)))*('Category Rules'!$B$6:$B$125&lt;&gt;"")),'Category Rules'!$C$6:$C$125),"Uncategorized"))</f>
        <v/>
      </c>
      <c r="F254" s="108" t="n"/>
      <c r="G254" s="106">
        <f>IF($C254="","",IF($F254&lt;&gt;"",$F254,$E254))</f>
        <v/>
      </c>
      <c r="H254" s="82">
        <f>IF($B254="","",TEXT($B254,"mmm yyyy"))</f>
        <v/>
      </c>
    </row>
    <row r="255" ht="18" customHeight="1">
      <c r="A255" s="14" t="n"/>
      <c r="B255" s="98" t="inlineStr">
        <is>
          <t>2026-02-17</t>
        </is>
      </c>
      <c r="C255" s="99" t="inlineStr">
        <is>
          <t>JACK'S #200</t>
        </is>
      </c>
      <c r="D255" s="100" t="n">
        <v>10</v>
      </c>
      <c r="E255" s="101">
        <f>IF($C255="","",IFERROR(LOOKUP(2,1/((ISNUMBER(SEARCH('Category Rules'!$B$6:$B$125,$C255)))*('Category Rules'!$B$6:$B$125&lt;&gt;"")),'Category Rules'!$C$6:$C$125),"Uncategorized"))</f>
        <v/>
      </c>
      <c r="F255" s="108" t="n"/>
      <c r="G255" s="103">
        <f>IF($C255="","",IF($F255&lt;&gt;"",$F255,$E255))</f>
        <v/>
      </c>
      <c r="H255" s="85">
        <f>IF($B255="","",TEXT($B255,"mmm yyyy"))</f>
        <v/>
      </c>
    </row>
    <row r="256" ht="18" customHeight="1">
      <c r="A256" s="10" t="n"/>
      <c r="B256" s="98" t="inlineStr">
        <is>
          <t>2026-02-17</t>
        </is>
      </c>
      <c r="C256" s="99" t="inlineStr">
        <is>
          <t>JACK'S #156 HEFLIN</t>
        </is>
      </c>
      <c r="D256" s="100" t="n">
        <v>7.06</v>
      </c>
      <c r="E256" s="104">
        <f>IF($C256="","",IFERROR(LOOKUP(2,1/((ISNUMBER(SEARCH('Category Rules'!$B$6:$B$125,$C256)))*('Category Rules'!$B$6:$B$125&lt;&gt;"")),'Category Rules'!$C$6:$C$125),"Uncategorized"))</f>
        <v/>
      </c>
      <c r="F256" s="108" t="n"/>
      <c r="G256" s="106">
        <f>IF($C256="","",IF($F256&lt;&gt;"",$F256,$E256))</f>
        <v/>
      </c>
      <c r="H256" s="82">
        <f>IF($B256="","",TEXT($B256,"mmm yyyy"))</f>
        <v/>
      </c>
    </row>
    <row r="257" ht="18" customHeight="1">
      <c r="A257" s="14" t="n"/>
      <c r="B257" s="98" t="inlineStr">
        <is>
          <t>2026-02-17</t>
        </is>
      </c>
      <c r="C257" s="99" t="inlineStr">
        <is>
          <t>CALHOUN COUNTY W</t>
        </is>
      </c>
      <c r="D257" s="100" t="n">
        <v>31.02</v>
      </c>
      <c r="E257" s="101">
        <f>IF($C257="","",IFERROR(LOOKUP(2,1/((ISNUMBER(SEARCH('Category Rules'!$B$6:$B$125,$C257)))*('Category Rules'!$B$6:$B$125&lt;&gt;"")),'Category Rules'!$C$6:$C$125),"Uncategorized"))</f>
        <v/>
      </c>
      <c r="F257" s="108" t="n"/>
      <c r="G257" s="103">
        <f>IF($C257="","",IF($F257&lt;&gt;"",$F257,$E257))</f>
        <v/>
      </c>
      <c r="H257" s="85">
        <f>IF($B257="","",TEXT($B257,"mmm yyyy"))</f>
        <v/>
      </c>
    </row>
    <row r="258" ht="18" customHeight="1">
      <c r="A258" s="10" t="n"/>
      <c r="B258" s="98" t="inlineStr">
        <is>
          <t>2026-02-18</t>
        </is>
      </c>
      <c r="C258" s="99" t="inlineStr">
        <is>
          <t>RACETRAC 2589</t>
        </is>
      </c>
      <c r="D258" s="100" t="n">
        <v>58.59</v>
      </c>
      <c r="E258" s="104">
        <f>IF($C258="","",IFERROR(LOOKUP(2,1/((ISNUMBER(SEARCH('Category Rules'!$B$6:$B$125,$C258)))*('Category Rules'!$B$6:$B$125&lt;&gt;"")),'Category Rules'!$C$6:$C$125),"Uncategorized"))</f>
        <v/>
      </c>
      <c r="F258" s="108" t="n"/>
      <c r="G258" s="106">
        <f>IF($C258="","",IF($F258&lt;&gt;"",$F258,$E258))</f>
        <v/>
      </c>
      <c r="H258" s="82">
        <f>IF($B258="","",TEXT($B258,"mmm yyyy"))</f>
        <v/>
      </c>
    </row>
    <row r="259" ht="18" customHeight="1">
      <c r="A259" s="14" t="n"/>
      <c r="B259" s="98" t="inlineStr">
        <is>
          <t>2026-02-18</t>
        </is>
      </c>
      <c r="C259" s="99" t="inlineStr">
        <is>
          <t>RACETRAC 2589</t>
        </is>
      </c>
      <c r="D259" s="100" t="n">
        <v>3.4</v>
      </c>
      <c r="E259" s="101">
        <f>IF($C259="","",IFERROR(LOOKUP(2,1/((ISNUMBER(SEARCH('Category Rules'!$B$6:$B$125,$C259)))*('Category Rules'!$B$6:$B$125&lt;&gt;"")),'Category Rules'!$C$6:$C$125),"Uncategorized"))</f>
        <v/>
      </c>
      <c r="F259" s="108" t="n"/>
      <c r="G259" s="103">
        <f>IF($C259="","",IF($F259&lt;&gt;"",$F259,$E259))</f>
        <v/>
      </c>
      <c r="H259" s="85">
        <f>IF($B259="","",TEXT($B259,"mmm yyyy"))</f>
        <v/>
      </c>
    </row>
    <row r="260" ht="18" customHeight="1">
      <c r="A260" s="10" t="n"/>
      <c r="B260" s="98" t="inlineStr">
        <is>
          <t>2026-02-18</t>
        </is>
      </c>
      <c r="C260" s="99" t="inlineStr">
        <is>
          <t>Bojangles 0914</t>
        </is>
      </c>
      <c r="D260" s="100" t="n">
        <v>8.130000000000001</v>
      </c>
      <c r="E260" s="104">
        <f>IF($C260="","",IFERROR(LOOKUP(2,1/((ISNUMBER(SEARCH('Category Rules'!$B$6:$B$125,$C260)))*('Category Rules'!$B$6:$B$125&lt;&gt;"")),'Category Rules'!$C$6:$C$125),"Uncategorized"))</f>
        <v/>
      </c>
      <c r="F260" s="108" t="n"/>
      <c r="G260" s="106">
        <f>IF($C260="","",IF($F260&lt;&gt;"",$F260,$E260))</f>
        <v/>
      </c>
      <c r="H260" s="82">
        <f>IF($B260="","",TEXT($B260,"mmm yyyy"))</f>
        <v/>
      </c>
    </row>
    <row r="261" ht="18" customHeight="1">
      <c r="A261" s="14" t="n"/>
      <c r="B261" s="98" t="inlineStr">
        <is>
          <t>2026-02-18</t>
        </is>
      </c>
      <c r="C261" s="99" t="inlineStr">
        <is>
          <t>DAIRY QUEEN #44220</t>
        </is>
      </c>
      <c r="D261" s="100" t="n">
        <v>10.11</v>
      </c>
      <c r="E261" s="101">
        <f>IF($C261="","",IFERROR(LOOKUP(2,1/((ISNUMBER(SEARCH('Category Rules'!$B$6:$B$125,$C261)))*('Category Rules'!$B$6:$B$125&lt;&gt;"")),'Category Rules'!$C$6:$C$125),"Uncategorized"))</f>
        <v/>
      </c>
      <c r="F261" s="108" t="n"/>
      <c r="G261" s="103">
        <f>IF($C261="","",IF($F261&lt;&gt;"",$F261,$E261))</f>
        <v/>
      </c>
      <c r="H261" s="85">
        <f>IF($B261="","",TEXT($B261,"mmm yyyy"))</f>
        <v/>
      </c>
    </row>
    <row r="262" ht="18" customHeight="1">
      <c r="A262" s="10" t="n"/>
      <c r="B262" s="98" t="inlineStr">
        <is>
          <t>2026-02-19</t>
        </is>
      </c>
      <c r="C262" s="99" t="inlineStr">
        <is>
          <t>SITE356853- CHE</t>
        </is>
      </c>
      <c r="D262" s="100" t="n">
        <v>3.88</v>
      </c>
      <c r="E262" s="104">
        <f>IF($C262="","",IFERROR(LOOKUP(2,1/((ISNUMBER(SEARCH('Category Rules'!$B$6:$B$125,$C262)))*('Category Rules'!$B$6:$B$125&lt;&gt;"")),'Category Rules'!$C$6:$C$125),"Uncategorized"))</f>
        <v/>
      </c>
      <c r="F262" s="108" t="n"/>
      <c r="G262" s="106">
        <f>IF($C262="","",IF($F262&lt;&gt;"",$F262,$E262))</f>
        <v/>
      </c>
      <c r="H262" s="82">
        <f>IF($B262="","",TEXT($B262,"mmm yyyy"))</f>
        <v/>
      </c>
    </row>
    <row r="263" ht="18" customHeight="1">
      <c r="A263" s="14" t="n"/>
      <c r="B263" s="98" t="inlineStr">
        <is>
          <t>2026-02-19</t>
        </is>
      </c>
      <c r="C263" s="99" t="inlineStr">
        <is>
          <t>Bojangles 0914</t>
        </is>
      </c>
      <c r="D263" s="100" t="n">
        <v>12.52</v>
      </c>
      <c r="E263" s="101">
        <f>IF($C263="","",IFERROR(LOOKUP(2,1/((ISNUMBER(SEARCH('Category Rules'!$B$6:$B$125,$C263)))*('Category Rules'!$B$6:$B$125&lt;&gt;"")),'Category Rules'!$C$6:$C$125),"Uncategorized"))</f>
        <v/>
      </c>
      <c r="F263" s="108" t="n"/>
      <c r="G263" s="103">
        <f>IF($C263="","",IF($F263&lt;&gt;"",$F263,$E263))</f>
        <v/>
      </c>
      <c r="H263" s="85">
        <f>IF($B263="","",TEXT($B263,"mmm yyyy"))</f>
        <v/>
      </c>
    </row>
    <row r="264" ht="18" customHeight="1">
      <c r="A264" s="10" t="n"/>
      <c r="B264" s="98" t="inlineStr">
        <is>
          <t>2026-02-19</t>
        </is>
      </c>
      <c r="C264" s="99" t="inlineStr">
        <is>
          <t>JACK'S #153 OXFORD</t>
        </is>
      </c>
      <c r="D264" s="100" t="n">
        <v>9.890000000000001</v>
      </c>
      <c r="E264" s="104">
        <f>IF($C264="","",IFERROR(LOOKUP(2,1/((ISNUMBER(SEARCH('Category Rules'!$B$6:$B$125,$C264)))*('Category Rules'!$B$6:$B$125&lt;&gt;"")),'Category Rules'!$C$6:$C$125),"Uncategorized"))</f>
        <v/>
      </c>
      <c r="F264" s="108" t="n"/>
      <c r="G264" s="106">
        <f>IF($C264="","",IF($F264&lt;&gt;"",$F264,$E264))</f>
        <v/>
      </c>
      <c r="H264" s="82">
        <f>IF($B264="","",TEXT($B264,"mmm yyyy"))</f>
        <v/>
      </c>
    </row>
    <row r="265" ht="18" customHeight="1">
      <c r="A265" s="14" t="n"/>
      <c r="B265" s="98" t="inlineStr">
        <is>
          <t>2026-02-20</t>
        </is>
      </c>
      <c r="C265" s="99" t="inlineStr">
        <is>
          <t>W. M. GROCERY</t>
        </is>
      </c>
      <c r="D265" s="100" t="n">
        <v>11.87</v>
      </c>
      <c r="E265" s="101">
        <f>IF($C265="","",IFERROR(LOOKUP(2,1/((ISNUMBER(SEARCH('Category Rules'!$B$6:$B$125,$C265)))*('Category Rules'!$B$6:$B$125&lt;&gt;"")),'Category Rules'!$C$6:$C$125),"Uncategorized"))</f>
        <v/>
      </c>
      <c r="F265" s="108" t="n"/>
      <c r="G265" s="103">
        <f>IF($C265="","",IF($F265&lt;&gt;"",$F265,$E265))</f>
        <v/>
      </c>
      <c r="H265" s="85">
        <f>IF($B265="","",TEXT($B265,"mmm yyyy"))</f>
        <v/>
      </c>
    </row>
    <row r="266" ht="18" customHeight="1">
      <c r="A266" s="10" t="n"/>
      <c r="B266" s="98" t="inlineStr">
        <is>
          <t>2026-02-20</t>
        </is>
      </c>
      <c r="C266" s="99" t="inlineStr">
        <is>
          <t>W. M. GROCERY</t>
        </is>
      </c>
      <c r="D266" s="100" t="n">
        <v>3</v>
      </c>
      <c r="E266" s="104">
        <f>IF($C266="","",IFERROR(LOOKUP(2,1/((ISNUMBER(SEARCH('Category Rules'!$B$6:$B$125,$C266)))*('Category Rules'!$B$6:$B$125&lt;&gt;"")),'Category Rules'!$C$6:$C$125),"Uncategorized"))</f>
        <v/>
      </c>
      <c r="F266" s="108" t="n"/>
      <c r="G266" s="106">
        <f>IF($C266="","",IF($F266&lt;&gt;"",$F266,$E266))</f>
        <v/>
      </c>
      <c r="H266" s="82">
        <f>IF($B266="","",TEXT($B266,"mmm yyyy"))</f>
        <v/>
      </c>
    </row>
    <row r="267" ht="18" customHeight="1">
      <c r="A267" s="14" t="n"/>
      <c r="B267" s="98" t="inlineStr">
        <is>
          <t>2026-02-20</t>
        </is>
      </c>
      <c r="C267" s="99" t="inlineStr">
        <is>
          <t>THE GREEN STORES</t>
        </is>
      </c>
      <c r="D267" s="100" t="n">
        <v>13.7</v>
      </c>
      <c r="E267" s="101">
        <f>IF($C267="","",IFERROR(LOOKUP(2,1/((ISNUMBER(SEARCH('Category Rules'!$B$6:$B$125,$C267)))*('Category Rules'!$B$6:$B$125&lt;&gt;"")),'Category Rules'!$C$6:$C$125),"Uncategorized"))</f>
        <v/>
      </c>
      <c r="F267" s="108" t="n"/>
      <c r="G267" s="103">
        <f>IF($C267="","",IF($F267&lt;&gt;"",$F267,$E267))</f>
        <v/>
      </c>
      <c r="H267" s="85">
        <f>IF($B267="","",TEXT($B267,"mmm yyyy"))</f>
        <v/>
      </c>
    </row>
    <row r="268" ht="18" customHeight="1">
      <c r="A268" s="10" t="n"/>
      <c r="B268" s="98" t="inlineStr">
        <is>
          <t>2026-02-20</t>
        </is>
      </c>
      <c r="C268" s="99" t="inlineStr">
        <is>
          <t>JACK'S #200</t>
        </is>
      </c>
      <c r="D268" s="100" t="n">
        <v>10</v>
      </c>
      <c r="E268" s="104">
        <f>IF($C268="","",IFERROR(LOOKUP(2,1/((ISNUMBER(SEARCH('Category Rules'!$B$6:$B$125,$C268)))*('Category Rules'!$B$6:$B$125&lt;&gt;"")),'Category Rules'!$C$6:$C$125),"Uncategorized"))</f>
        <v/>
      </c>
      <c r="F268" s="108" t="n"/>
      <c r="G268" s="106">
        <f>IF($C268="","",IF($F268&lt;&gt;"",$F268,$E268))</f>
        <v/>
      </c>
      <c r="H268" s="82">
        <f>IF($B268="","",TEXT($B268,"mmm yyyy"))</f>
        <v/>
      </c>
    </row>
    <row r="269" ht="18" customHeight="1">
      <c r="A269" s="14" t="n"/>
      <c r="B269" s="98" t="inlineStr">
        <is>
          <t>2026-02-20</t>
        </is>
      </c>
      <c r="C269" s="99" t="inlineStr">
        <is>
          <t>TST* ROCK N ROOSTER SA</t>
        </is>
      </c>
      <c r="D269" s="100" t="n">
        <v>52.2</v>
      </c>
      <c r="E269" s="101">
        <f>IF($C269="","",IFERROR(LOOKUP(2,1/((ISNUMBER(SEARCH('Category Rules'!$B$6:$B$125,$C269)))*('Category Rules'!$B$6:$B$125&lt;&gt;"")),'Category Rules'!$C$6:$C$125),"Uncategorized"))</f>
        <v/>
      </c>
      <c r="F269" s="108" t="n"/>
      <c r="G269" s="103">
        <f>IF($C269="","",IF($F269&lt;&gt;"",$F269,$E269))</f>
        <v/>
      </c>
      <c r="H269" s="85">
        <f>IF($B269="","",TEXT($B269,"mmm yyyy"))</f>
        <v/>
      </c>
    </row>
    <row r="270" ht="18" customHeight="1">
      <c r="A270" s="10" t="n"/>
      <c r="B270" s="98" t="inlineStr">
        <is>
          <t>2026-02-20</t>
        </is>
      </c>
      <c r="C270" s="99" t="inlineStr">
        <is>
          <t>BP#1988302SPARK</t>
        </is>
      </c>
      <c r="D270" s="100" t="n">
        <v>4.02</v>
      </c>
      <c r="E270" s="104">
        <f>IF($C270="","",IFERROR(LOOKUP(2,1/((ISNUMBER(SEARCH('Category Rules'!$B$6:$B$125,$C270)))*('Category Rules'!$B$6:$B$125&lt;&gt;"")),'Category Rules'!$C$6:$C$125),"Uncategorized"))</f>
        <v/>
      </c>
      <c r="F270" s="108" t="n"/>
      <c r="G270" s="106">
        <f>IF($C270="","",IF($F270&lt;&gt;"",$F270,$E270))</f>
        <v/>
      </c>
      <c r="H270" s="82">
        <f>IF($B270="","",TEXT($B270,"mmm yyyy"))</f>
        <v/>
      </c>
    </row>
    <row r="271" ht="18" customHeight="1">
      <c r="A271" s="14" t="n"/>
      <c r="B271" s="98" t="inlineStr">
        <is>
          <t>2026-02-21</t>
        </is>
      </c>
      <c r="C271" s="99" t="inlineStr">
        <is>
          <t>PERRYLAND FOODS</t>
        </is>
      </c>
      <c r="D271" s="100" t="n">
        <v>3.2</v>
      </c>
      <c r="E271" s="101">
        <f>IF($C271="","",IFERROR(LOOKUP(2,1/((ISNUMBER(SEARCH('Category Rules'!$B$6:$B$125,$C271)))*('Category Rules'!$B$6:$B$125&lt;&gt;"")),'Category Rules'!$C$6:$C$125),"Uncategorized"))</f>
        <v/>
      </c>
      <c r="F271" s="108" t="n"/>
      <c r="G271" s="103">
        <f>IF($C271="","",IF($F271&lt;&gt;"",$F271,$E271))</f>
        <v/>
      </c>
      <c r="H271" s="85">
        <f>IF($B271="","",TEXT($B271,"mmm yyyy"))</f>
        <v/>
      </c>
    </row>
    <row r="272" ht="18" customHeight="1">
      <c r="A272" s="10" t="n"/>
      <c r="B272" s="98" t="inlineStr">
        <is>
          <t>2026-02-21</t>
        </is>
      </c>
      <c r="C272" s="99" t="inlineStr">
        <is>
          <t>W. M. GROCERY</t>
        </is>
      </c>
      <c r="D272" s="100" t="n">
        <v>3.23</v>
      </c>
      <c r="E272" s="104">
        <f>IF($C272="","",IFERROR(LOOKUP(2,1/((ISNUMBER(SEARCH('Category Rules'!$B$6:$B$125,$C272)))*('Category Rules'!$B$6:$B$125&lt;&gt;"")),'Category Rules'!$C$6:$C$125),"Uncategorized"))</f>
        <v/>
      </c>
      <c r="F272" s="108" t="n"/>
      <c r="G272" s="106">
        <f>IF($C272="","",IF($F272&lt;&gt;"",$F272,$E272))</f>
        <v/>
      </c>
      <c r="H272" s="82">
        <f>IF($B272="","",TEXT($B272,"mmm yyyy"))</f>
        <v/>
      </c>
    </row>
    <row r="273" ht="18" customHeight="1">
      <c r="A273" s="14" t="n"/>
      <c r="B273" s="98" t="inlineStr">
        <is>
          <t>2026-02-21</t>
        </is>
      </c>
      <c r="C273" s="99" t="inlineStr">
        <is>
          <t>W M GROCERY</t>
        </is>
      </c>
      <c r="D273" s="100" t="n">
        <v>4.06</v>
      </c>
      <c r="E273" s="101">
        <f>IF($C273="","",IFERROR(LOOKUP(2,1/((ISNUMBER(SEARCH('Category Rules'!$B$6:$B$125,$C273)))*('Category Rules'!$B$6:$B$125&lt;&gt;"")),'Category Rules'!$C$6:$C$125),"Uncategorized"))</f>
        <v/>
      </c>
      <c r="F273" s="108" t="n"/>
      <c r="G273" s="103">
        <f>IF($C273="","",IF($F273&lt;&gt;"",$F273,$E273))</f>
        <v/>
      </c>
      <c r="H273" s="85">
        <f>IF($B273="","",TEXT($B273,"mmm yyyy"))</f>
        <v/>
      </c>
    </row>
    <row r="274" ht="18" customHeight="1">
      <c r="A274" s="10" t="n"/>
      <c r="B274" s="98" t="inlineStr">
        <is>
          <t>2026-02-21</t>
        </is>
      </c>
      <c r="C274" s="99" t="inlineStr">
        <is>
          <t>DAIRY QUEEN #44220</t>
        </is>
      </c>
      <c r="D274" s="100" t="n">
        <v>11.21</v>
      </c>
      <c r="E274" s="104">
        <f>IF($C274="","",IFERROR(LOOKUP(2,1/((ISNUMBER(SEARCH('Category Rules'!$B$6:$B$125,$C274)))*('Category Rules'!$B$6:$B$125&lt;&gt;"")),'Category Rules'!$C$6:$C$125),"Uncategorized"))</f>
        <v/>
      </c>
      <c r="F274" s="108" t="n"/>
      <c r="G274" s="106">
        <f>IF($C274="","",IF($F274&lt;&gt;"",$F274,$E274))</f>
        <v/>
      </c>
      <c r="H274" s="82">
        <f>IF($B274="","",TEXT($B274,"mmm yyyy"))</f>
        <v/>
      </c>
    </row>
    <row r="275" ht="18" customHeight="1">
      <c r="A275" s="14" t="n"/>
      <c r="B275" s="98" t="inlineStr">
        <is>
          <t>2026-02-21</t>
        </is>
      </c>
      <c r="C275" s="99" t="inlineStr">
        <is>
          <t>WHATABURGER 1492</t>
        </is>
      </c>
      <c r="D275" s="100" t="n">
        <v>16.53</v>
      </c>
      <c r="E275" s="101">
        <f>IF($C275="","",IFERROR(LOOKUP(2,1/((ISNUMBER(SEARCH('Category Rules'!$B$6:$B$125,$C275)))*('Category Rules'!$B$6:$B$125&lt;&gt;"")),'Category Rules'!$C$6:$C$125),"Uncategorized"))</f>
        <v/>
      </c>
      <c r="F275" s="108" t="n"/>
      <c r="G275" s="103">
        <f>IF($C275="","",IF($F275&lt;&gt;"",$F275,$E275))</f>
        <v/>
      </c>
      <c r="H275" s="85">
        <f>IF($B275="","",TEXT($B275,"mmm yyyy"))</f>
        <v/>
      </c>
    </row>
    <row r="276" ht="18" customHeight="1">
      <c r="A276" s="10" t="n"/>
      <c r="B276" s="98" t="inlineStr">
        <is>
          <t>2026-02-21</t>
        </is>
      </c>
      <c r="C276" s="99" t="inlineStr">
        <is>
          <t>MCDONALD'S F6920</t>
        </is>
      </c>
      <c r="D276" s="100" t="n">
        <v>10.54</v>
      </c>
      <c r="E276" s="104">
        <f>IF($C276="","",IFERROR(LOOKUP(2,1/((ISNUMBER(SEARCH('Category Rules'!$B$6:$B$125,$C276)))*('Category Rules'!$B$6:$B$125&lt;&gt;"")),'Category Rules'!$C$6:$C$125),"Uncategorized"))</f>
        <v/>
      </c>
      <c r="F276" s="108" t="n"/>
      <c r="G276" s="106">
        <f>IF($C276="","",IF($F276&lt;&gt;"",$F276,$E276))</f>
        <v/>
      </c>
      <c r="H276" s="82">
        <f>IF($B276="","",TEXT($B276,"mmm yyyy"))</f>
        <v/>
      </c>
    </row>
    <row r="277" ht="18" customHeight="1">
      <c r="A277" s="14" t="n"/>
      <c r="B277" s="98" t="inlineStr">
        <is>
          <t>2026-02-21</t>
        </is>
      </c>
      <c r="C277" s="99" t="inlineStr">
        <is>
          <t>TST* ROCK N ROOSTER SA</t>
        </is>
      </c>
      <c r="D277" s="100" t="n">
        <v>30</v>
      </c>
      <c r="E277" s="101">
        <f>IF($C277="","",IFERROR(LOOKUP(2,1/((ISNUMBER(SEARCH('Category Rules'!$B$6:$B$125,$C277)))*('Category Rules'!$B$6:$B$125&lt;&gt;"")),'Category Rules'!$C$6:$C$125),"Uncategorized"))</f>
        <v/>
      </c>
      <c r="F277" s="108" t="n"/>
      <c r="G277" s="103">
        <f>IF($C277="","",IF($F277&lt;&gt;"",$F277,$E277))</f>
        <v/>
      </c>
      <c r="H277" s="85">
        <f>IF($B277="","",TEXT($B277,"mmm yyyy"))</f>
        <v/>
      </c>
    </row>
    <row r="278" ht="18" customHeight="1">
      <c r="A278" s="10" t="n"/>
      <c r="B278" s="98" t="inlineStr">
        <is>
          <t>2026-02-21</t>
        </is>
      </c>
      <c r="C278" s="99" t="inlineStr">
        <is>
          <t>TST* ROCK N ROOSTER SA</t>
        </is>
      </c>
      <c r="D278" s="100" t="n">
        <v>4.4</v>
      </c>
      <c r="E278" s="104">
        <f>IF($C278="","",IFERROR(LOOKUP(2,1/((ISNUMBER(SEARCH('Category Rules'!$B$6:$B$125,$C278)))*('Category Rules'!$B$6:$B$125&lt;&gt;"")),'Category Rules'!$C$6:$C$125),"Uncategorized"))</f>
        <v/>
      </c>
      <c r="F278" s="108" t="n"/>
      <c r="G278" s="106">
        <f>IF($C278="","",IF($F278&lt;&gt;"",$F278,$E278))</f>
        <v/>
      </c>
      <c r="H278" s="82">
        <f>IF($B278="","",TEXT($B278,"mmm yyyy"))</f>
        <v/>
      </c>
    </row>
    <row r="279" ht="18" customHeight="1">
      <c r="A279" s="14" t="n"/>
      <c r="B279" s="98" t="inlineStr">
        <is>
          <t>2026-02-21</t>
        </is>
      </c>
      <c r="C279" s="99" t="inlineStr">
        <is>
          <t>COOK OUT JACKSONVILLE</t>
        </is>
      </c>
      <c r="D279" s="100" t="n">
        <v>8.789999999999999</v>
      </c>
      <c r="E279" s="101">
        <f>IF($C279="","",IFERROR(LOOKUP(2,1/((ISNUMBER(SEARCH('Category Rules'!$B$6:$B$125,$C279)))*('Category Rules'!$B$6:$B$125&lt;&gt;"")),'Category Rules'!$C$6:$C$125),"Uncategorized"))</f>
        <v/>
      </c>
      <c r="F279" s="108" t="n"/>
      <c r="G279" s="103">
        <f>IF($C279="","",IF($F279&lt;&gt;"",$F279,$E279))</f>
        <v/>
      </c>
      <c r="H279" s="85">
        <f>IF($B279="","",TEXT($B279,"mmm yyyy"))</f>
        <v/>
      </c>
    </row>
    <row r="280" ht="18" customHeight="1">
      <c r="A280" s="10" t="n"/>
      <c r="B280" s="98" t="inlineStr">
        <is>
          <t>2026-02-21</t>
        </is>
      </c>
      <c r="C280" s="99" t="inlineStr">
        <is>
          <t>JACKSONVILLE HOME CTR</t>
        </is>
      </c>
      <c r="D280" s="100" t="n">
        <v>27.49</v>
      </c>
      <c r="E280" s="104">
        <f>IF($C280="","",IFERROR(LOOKUP(2,1/((ISNUMBER(SEARCH('Category Rules'!$B$6:$B$125,$C280)))*('Category Rules'!$B$6:$B$125&lt;&gt;"")),'Category Rules'!$C$6:$C$125),"Uncategorized"))</f>
        <v/>
      </c>
      <c r="F280" s="108" t="n"/>
      <c r="G280" s="106">
        <f>IF($C280="","",IF($F280&lt;&gt;"",$F280,$E280))</f>
        <v/>
      </c>
      <c r="H280" s="82">
        <f>IF($B280="","",TEXT($B280,"mmm yyyy"))</f>
        <v/>
      </c>
    </row>
    <row r="281" ht="18" customHeight="1">
      <c r="A281" s="14" t="n"/>
      <c r="B281" s="98" t="inlineStr">
        <is>
          <t>2026-02-22</t>
        </is>
      </c>
      <c r="C281" s="99" t="inlineStr">
        <is>
          <t>SITE358559 - TE</t>
        </is>
      </c>
      <c r="D281" s="100" t="n">
        <v>10.01</v>
      </c>
      <c r="E281" s="101">
        <f>IF($C281="","",IFERROR(LOOKUP(2,1/((ISNUMBER(SEARCH('Category Rules'!$B$6:$B$125,$C281)))*('Category Rules'!$B$6:$B$125&lt;&gt;"")),'Category Rules'!$C$6:$C$125),"Uncategorized"))</f>
        <v/>
      </c>
      <c r="F281" s="108" t="n"/>
      <c r="G281" s="103">
        <f>IF($C281="","",IF($F281&lt;&gt;"",$F281,$E281))</f>
        <v/>
      </c>
      <c r="H281" s="85">
        <f>IF($B281="","",TEXT($B281,"mmm yyyy"))</f>
        <v/>
      </c>
    </row>
    <row r="282" ht="18" customHeight="1">
      <c r="A282" s="10" t="n"/>
      <c r="B282" s="98" t="inlineStr">
        <is>
          <t>2026-02-22</t>
        </is>
      </c>
      <c r="C282" s="99" t="inlineStr">
        <is>
          <t>PIC'N SAVE #248</t>
        </is>
      </c>
      <c r="D282" s="100" t="n">
        <v>1.79</v>
      </c>
      <c r="E282" s="104">
        <f>IF($C282="","",IFERROR(LOOKUP(2,1/((ISNUMBER(SEARCH('Category Rules'!$B$6:$B$125,$C282)))*('Category Rules'!$B$6:$B$125&lt;&gt;"")),'Category Rules'!$C$6:$C$125),"Uncategorized"))</f>
        <v/>
      </c>
      <c r="F282" s="108" t="n"/>
      <c r="G282" s="106">
        <f>IF($C282="","",IF($F282&lt;&gt;"",$F282,$E282))</f>
        <v/>
      </c>
      <c r="H282" s="82">
        <f>IF($B282="","",TEXT($B282,"mmm yyyy"))</f>
        <v/>
      </c>
    </row>
    <row r="283" ht="18" customHeight="1">
      <c r="A283" s="14" t="n"/>
      <c r="B283" s="98" t="inlineStr">
        <is>
          <t>2026-02-22</t>
        </is>
      </c>
      <c r="C283" s="99" t="inlineStr">
        <is>
          <t>PIC'N SAVE #248</t>
        </is>
      </c>
      <c r="D283" s="100" t="n">
        <v>9.85</v>
      </c>
      <c r="E283" s="101">
        <f>IF($C283="","",IFERROR(LOOKUP(2,1/((ISNUMBER(SEARCH('Category Rules'!$B$6:$B$125,$C283)))*('Category Rules'!$B$6:$B$125&lt;&gt;"")),'Category Rules'!$C$6:$C$125),"Uncategorized"))</f>
        <v/>
      </c>
      <c r="F283" s="108" t="n"/>
      <c r="G283" s="103">
        <f>IF($C283="","",IF($F283&lt;&gt;"",$F283,$E283))</f>
        <v/>
      </c>
      <c r="H283" s="85">
        <f>IF($B283="","",TEXT($B283,"mmm yyyy"))</f>
        <v/>
      </c>
    </row>
    <row r="284" ht="18" customHeight="1">
      <c r="A284" s="10" t="n"/>
      <c r="B284" s="98" t="inlineStr">
        <is>
          <t>2026-02-22</t>
        </is>
      </c>
      <c r="C284" s="99" t="inlineStr">
        <is>
          <t>PIC'N SAVE #248</t>
        </is>
      </c>
      <c r="D284" s="100" t="n">
        <v>2.51</v>
      </c>
      <c r="E284" s="104">
        <f>IF($C284="","",IFERROR(LOOKUP(2,1/((ISNUMBER(SEARCH('Category Rules'!$B$6:$B$125,$C284)))*('Category Rules'!$B$6:$B$125&lt;&gt;"")),'Category Rules'!$C$6:$C$125),"Uncategorized"))</f>
        <v/>
      </c>
      <c r="F284" s="108" t="n"/>
      <c r="G284" s="106">
        <f>IF($C284="","",IF($F284&lt;&gt;"",$F284,$E284))</f>
        <v/>
      </c>
      <c r="H284" s="82">
        <f>IF($B284="","",TEXT($B284,"mmm yyyy"))</f>
        <v/>
      </c>
    </row>
    <row r="285" ht="18" customHeight="1">
      <c r="A285" s="14" t="n"/>
      <c r="B285" s="98" t="inlineStr">
        <is>
          <t>2026-02-22</t>
        </is>
      </c>
      <c r="C285" s="99" t="inlineStr">
        <is>
          <t>STATE FARM INSURANCE</t>
        </is>
      </c>
      <c r="D285" s="100" t="n">
        <v>189.92</v>
      </c>
      <c r="E285" s="101">
        <f>IF($C285="","",IFERROR(LOOKUP(2,1/((ISNUMBER(SEARCH('Category Rules'!$B$6:$B$125,$C285)))*('Category Rules'!$B$6:$B$125&lt;&gt;"")),'Category Rules'!$C$6:$C$125),"Uncategorized"))</f>
        <v/>
      </c>
      <c r="F285" s="108" t="n"/>
      <c r="G285" s="103">
        <f>IF($C285="","",IF($F285&lt;&gt;"",$F285,$E285))</f>
        <v/>
      </c>
      <c r="H285" s="85">
        <f>IF($B285="","",TEXT($B285,"mmm yyyy"))</f>
        <v/>
      </c>
    </row>
    <row r="286" ht="18" customHeight="1">
      <c r="A286" s="10" t="n"/>
      <c r="B286" s="98" t="inlineStr">
        <is>
          <t>2026-02-22</t>
        </is>
      </c>
      <c r="C286" s="99" t="inlineStr">
        <is>
          <t>STATE FARM INSURANCE</t>
        </is>
      </c>
      <c r="D286" s="100" t="n">
        <v>79.33</v>
      </c>
      <c r="E286" s="104">
        <f>IF($C286="","",IFERROR(LOOKUP(2,1/((ISNUMBER(SEARCH('Category Rules'!$B$6:$B$125,$C286)))*('Category Rules'!$B$6:$B$125&lt;&gt;"")),'Category Rules'!$C$6:$C$125),"Uncategorized"))</f>
        <v/>
      </c>
      <c r="F286" s="108" t="n"/>
      <c r="G286" s="106">
        <f>IF($C286="","",IF($F286&lt;&gt;"",$F286,$E286))</f>
        <v/>
      </c>
      <c r="H286" s="82">
        <f>IF($B286="","",TEXT($B286,"mmm yyyy"))</f>
        <v/>
      </c>
    </row>
    <row r="287" ht="18" customHeight="1">
      <c r="A287" s="14" t="n"/>
      <c r="B287" s="98" t="inlineStr">
        <is>
          <t>2026-02-22</t>
        </is>
      </c>
      <c r="C287" s="99" t="inlineStr">
        <is>
          <t>WHATABURGER 1492</t>
        </is>
      </c>
      <c r="D287" s="100" t="n">
        <v>16.09</v>
      </c>
      <c r="E287" s="101">
        <f>IF($C287="","",IFERROR(LOOKUP(2,1/((ISNUMBER(SEARCH('Category Rules'!$B$6:$B$125,$C287)))*('Category Rules'!$B$6:$B$125&lt;&gt;"")),'Category Rules'!$C$6:$C$125),"Uncategorized"))</f>
        <v/>
      </c>
      <c r="F287" s="108" t="n"/>
      <c r="G287" s="103">
        <f>IF($C287="","",IF($F287&lt;&gt;"",$F287,$E287))</f>
        <v/>
      </c>
      <c r="H287" s="85">
        <f>IF($B287="","",TEXT($B287,"mmm yyyy"))</f>
        <v/>
      </c>
    </row>
    <row r="288" ht="18" customHeight="1">
      <c r="A288" s="10" t="n"/>
      <c r="B288" s="98" t="inlineStr">
        <is>
          <t>2026-02-22</t>
        </is>
      </c>
      <c r="C288" s="99" t="inlineStr">
        <is>
          <t>Apothecary Draft House</t>
        </is>
      </c>
      <c r="D288" s="100" t="n">
        <v>18.1</v>
      </c>
      <c r="E288" s="104">
        <f>IF($C288="","",IFERROR(LOOKUP(2,1/((ISNUMBER(SEARCH('Category Rules'!$B$6:$B$125,$C288)))*('Category Rules'!$B$6:$B$125&lt;&gt;"")),'Category Rules'!$C$6:$C$125),"Uncategorized"))</f>
        <v/>
      </c>
      <c r="F288" s="108" t="n"/>
      <c r="G288" s="106">
        <f>IF($C288="","",IF($F288&lt;&gt;"",$F288,$E288))</f>
        <v/>
      </c>
      <c r="H288" s="82">
        <f>IF($B288="","",TEXT($B288,"mmm yyyy"))</f>
        <v/>
      </c>
    </row>
    <row r="289" ht="18" customHeight="1">
      <c r="A289" s="14" t="n"/>
      <c r="B289" s="98" t="inlineStr">
        <is>
          <t>2026-02-23</t>
        </is>
      </c>
      <c r="C289" s="99" t="inlineStr">
        <is>
          <t>WAL-MART #0300</t>
        </is>
      </c>
      <c r="D289" s="100" t="n">
        <v>44.47</v>
      </c>
      <c r="E289" s="101">
        <f>IF($C289="","",IFERROR(LOOKUP(2,1/((ISNUMBER(SEARCH('Category Rules'!$B$6:$B$125,$C289)))*('Category Rules'!$B$6:$B$125&lt;&gt;"")),'Category Rules'!$C$6:$C$125),"Uncategorized"))</f>
        <v/>
      </c>
      <c r="F289" s="108" t="n"/>
      <c r="G289" s="103">
        <f>IF($C289="","",IF($F289&lt;&gt;"",$F289,$E289))</f>
        <v/>
      </c>
      <c r="H289" s="85">
        <f>IF($B289="","",TEXT($B289,"mmm yyyy"))</f>
        <v/>
      </c>
    </row>
    <row r="290" ht="18" customHeight="1">
      <c r="A290" s="10" t="n"/>
      <c r="B290" s="98" t="inlineStr">
        <is>
          <t>2026-02-23</t>
        </is>
      </c>
      <c r="C290" s="99" t="inlineStr">
        <is>
          <t>OXFORD CHEVRON</t>
        </is>
      </c>
      <c r="D290" s="100" t="n">
        <v>62.39</v>
      </c>
      <c r="E290" s="104">
        <f>IF($C290="","",IFERROR(LOOKUP(2,1/((ISNUMBER(SEARCH('Category Rules'!$B$6:$B$125,$C290)))*('Category Rules'!$B$6:$B$125&lt;&gt;"")),'Category Rules'!$C$6:$C$125),"Uncategorized"))</f>
        <v/>
      </c>
      <c r="F290" s="108" t="n"/>
      <c r="G290" s="106">
        <f>IF($C290="","",IF($F290&lt;&gt;"",$F290,$E290))</f>
        <v/>
      </c>
      <c r="H290" s="82">
        <f>IF($B290="","",TEXT($B290,"mmm yyyy"))</f>
        <v/>
      </c>
    </row>
    <row r="291" ht="18" customHeight="1">
      <c r="A291" s="14" t="n"/>
      <c r="B291" s="98" t="inlineStr">
        <is>
          <t>2026-02-23</t>
        </is>
      </c>
      <c r="C291" s="99" t="inlineStr">
        <is>
          <t>OXFORD CHEVRON</t>
        </is>
      </c>
      <c r="D291" s="100" t="n">
        <v>4.05</v>
      </c>
      <c r="E291" s="101">
        <f>IF($C291="","",IFERROR(LOOKUP(2,1/((ISNUMBER(SEARCH('Category Rules'!$B$6:$B$125,$C291)))*('Category Rules'!$B$6:$B$125&lt;&gt;"")),'Category Rules'!$C$6:$C$125),"Uncategorized"))</f>
        <v/>
      </c>
      <c r="F291" s="108" t="n"/>
      <c r="G291" s="103">
        <f>IF($C291="","",IF($F291&lt;&gt;"",$F291,$E291))</f>
        <v/>
      </c>
      <c r="H291" s="85">
        <f>IF($B291="","",TEXT($B291,"mmm yyyy"))</f>
        <v/>
      </c>
    </row>
    <row r="292" ht="18" customHeight="1">
      <c r="A292" s="10" t="n"/>
      <c r="B292" s="98" t="inlineStr">
        <is>
          <t>2026-02-23</t>
        </is>
      </c>
      <c r="C292" s="99" t="inlineStr">
        <is>
          <t>PIC'N SAVE #248</t>
        </is>
      </c>
      <c r="D292" s="100" t="n">
        <v>8.74</v>
      </c>
      <c r="E292" s="104">
        <f>IF($C292="","",IFERROR(LOOKUP(2,1/((ISNUMBER(SEARCH('Category Rules'!$B$6:$B$125,$C292)))*('Category Rules'!$B$6:$B$125&lt;&gt;"")),'Category Rules'!$C$6:$C$125),"Uncategorized"))</f>
        <v/>
      </c>
      <c r="F292" s="108" t="n"/>
      <c r="G292" s="106">
        <f>IF($C292="","",IF($F292&lt;&gt;"",$F292,$E292))</f>
        <v/>
      </c>
      <c r="H292" s="82">
        <f>IF($B292="","",TEXT($B292,"mmm yyyy"))</f>
        <v/>
      </c>
    </row>
    <row r="293" ht="18" customHeight="1">
      <c r="A293" s="14" t="n"/>
      <c r="B293" s="98" t="inlineStr">
        <is>
          <t>2026-02-23</t>
        </is>
      </c>
      <c r="C293" s="99" t="inlineStr">
        <is>
          <t>PIC'N SAVE #248</t>
        </is>
      </c>
      <c r="D293" s="100" t="n">
        <v>2.51</v>
      </c>
      <c r="E293" s="101">
        <f>IF($C293="","",IFERROR(LOOKUP(2,1/((ISNUMBER(SEARCH('Category Rules'!$B$6:$B$125,$C293)))*('Category Rules'!$B$6:$B$125&lt;&gt;"")),'Category Rules'!$C$6:$C$125),"Uncategorized"))</f>
        <v/>
      </c>
      <c r="F293" s="108" t="n"/>
      <c r="G293" s="103">
        <f>IF($C293="","",IF($F293&lt;&gt;"",$F293,$E293))</f>
        <v/>
      </c>
      <c r="H293" s="85">
        <f>IF($B293="","",TEXT($B293,"mmm yyyy"))</f>
        <v/>
      </c>
    </row>
    <row r="294" ht="18" customHeight="1">
      <c r="A294" s="10" t="n"/>
      <c r="B294" s="98" t="inlineStr">
        <is>
          <t>2026-02-23</t>
        </is>
      </c>
      <c r="C294" s="99" t="inlineStr">
        <is>
          <t>TST* ROCK N ROOSTER SA</t>
        </is>
      </c>
      <c r="D294" s="100" t="n">
        <v>30.26</v>
      </c>
      <c r="E294" s="104">
        <f>IF($C294="","",IFERROR(LOOKUP(2,1/((ISNUMBER(SEARCH('Category Rules'!$B$6:$B$125,$C294)))*('Category Rules'!$B$6:$B$125&lt;&gt;"")),'Category Rules'!$C$6:$C$125),"Uncategorized"))</f>
        <v/>
      </c>
      <c r="F294" s="108" t="n"/>
      <c r="G294" s="106">
        <f>IF($C294="","",IF($F294&lt;&gt;"",$F294,$E294))</f>
        <v/>
      </c>
      <c r="H294" s="82">
        <f>IF($B294="","",TEXT($B294,"mmm yyyy"))</f>
        <v/>
      </c>
    </row>
    <row r="295" ht="18" customHeight="1">
      <c r="A295" s="14" t="n"/>
      <c r="B295" s="98" t="inlineStr">
        <is>
          <t>2026-02-23</t>
        </is>
      </c>
      <c r="C295" s="99" t="inlineStr">
        <is>
          <t>SUBWAY 27228</t>
        </is>
      </c>
      <c r="D295" s="100" t="n">
        <v>13.19</v>
      </c>
      <c r="E295" s="101">
        <f>IF($C295="","",IFERROR(LOOKUP(2,1/((ISNUMBER(SEARCH('Category Rules'!$B$6:$B$125,$C295)))*('Category Rules'!$B$6:$B$125&lt;&gt;"")),'Category Rules'!$C$6:$C$125),"Uncategorized"))</f>
        <v/>
      </c>
      <c r="F295" s="108" t="n"/>
      <c r="G295" s="103">
        <f>IF($C295="","",IF($F295&lt;&gt;"",$F295,$E295))</f>
        <v/>
      </c>
      <c r="H295" s="85">
        <f>IF($B295="","",TEXT($B295,"mmm yyyy"))</f>
        <v/>
      </c>
    </row>
    <row r="296" ht="18" customHeight="1">
      <c r="A296" s="10" t="n"/>
      <c r="B296" s="98" t="inlineStr">
        <is>
          <t>2026-02-23</t>
        </is>
      </c>
      <c r="C296" s="99" t="inlineStr">
        <is>
          <t>JACK'S #156 HEFLIN</t>
        </is>
      </c>
      <c r="D296" s="100" t="n">
        <v>4.79</v>
      </c>
      <c r="E296" s="104">
        <f>IF($C296="","",IFERROR(LOOKUP(2,1/((ISNUMBER(SEARCH('Category Rules'!$B$6:$B$125,$C296)))*('Category Rules'!$B$6:$B$125&lt;&gt;"")),'Category Rules'!$C$6:$C$125),"Uncategorized"))</f>
        <v/>
      </c>
      <c r="F296" s="108" t="n"/>
      <c r="G296" s="106">
        <f>IF($C296="","",IF($F296&lt;&gt;"",$F296,$E296))</f>
        <v/>
      </c>
      <c r="H296" s="82">
        <f>IF($B296="","",TEXT($B296,"mmm yyyy"))</f>
        <v/>
      </c>
    </row>
    <row r="297" ht="18" customHeight="1">
      <c r="A297" s="14" t="n"/>
      <c r="B297" s="98" t="inlineStr">
        <is>
          <t>2026-02-24</t>
        </is>
      </c>
      <c r="C297" s="99" t="inlineStr">
        <is>
          <t>DORSEY'S SUPERM</t>
        </is>
      </c>
      <c r="D297" s="100" t="n">
        <v>23.76</v>
      </c>
      <c r="E297" s="101">
        <f>IF($C297="","",IFERROR(LOOKUP(2,1/((ISNUMBER(SEARCH('Category Rules'!$B$6:$B$125,$C297)))*('Category Rules'!$B$6:$B$125&lt;&gt;"")),'Category Rules'!$C$6:$C$125),"Uncategorized"))</f>
        <v/>
      </c>
      <c r="F297" s="108" t="n"/>
      <c r="G297" s="103">
        <f>IF($C297="","",IF($F297&lt;&gt;"",$F297,$E297))</f>
        <v/>
      </c>
      <c r="H297" s="85">
        <f>IF($B297="","",TEXT($B297,"mmm yyyy"))</f>
        <v/>
      </c>
    </row>
    <row r="298" ht="18" customHeight="1">
      <c r="A298" s="10" t="n"/>
      <c r="B298" s="98" t="inlineStr">
        <is>
          <t>2026-02-24</t>
        </is>
      </c>
      <c r="C298" s="99" t="inlineStr">
        <is>
          <t>DORSEY'S SUPERM</t>
        </is>
      </c>
      <c r="D298" s="100" t="n">
        <v>4.8</v>
      </c>
      <c r="E298" s="104">
        <f>IF($C298="","",IFERROR(LOOKUP(2,1/((ISNUMBER(SEARCH('Category Rules'!$B$6:$B$125,$C298)))*('Category Rules'!$B$6:$B$125&lt;&gt;"")),'Category Rules'!$C$6:$C$125),"Uncategorized"))</f>
        <v/>
      </c>
      <c r="F298" s="108" t="n"/>
      <c r="G298" s="106">
        <f>IF($C298="","",IF($F298&lt;&gt;"",$F298,$E298))</f>
        <v/>
      </c>
      <c r="H298" s="82">
        <f>IF($B298="","",TEXT($B298,"mmm yyyy"))</f>
        <v/>
      </c>
    </row>
    <row r="299" ht="18" customHeight="1">
      <c r="A299" s="14" t="n"/>
      <c r="B299" s="98" t="inlineStr">
        <is>
          <t>2026-02-24</t>
        </is>
      </c>
      <c r="C299" s="99" t="inlineStr">
        <is>
          <t>PIC'N SAVE #248</t>
        </is>
      </c>
      <c r="D299" s="100" t="n">
        <v>2.51</v>
      </c>
      <c r="E299" s="101">
        <f>IF($C299="","",IFERROR(LOOKUP(2,1/((ISNUMBER(SEARCH('Category Rules'!$B$6:$B$125,$C299)))*('Category Rules'!$B$6:$B$125&lt;&gt;"")),'Category Rules'!$C$6:$C$125),"Uncategorized"))</f>
        <v/>
      </c>
      <c r="F299" s="108" t="n"/>
      <c r="G299" s="103">
        <f>IF($C299="","",IF($F299&lt;&gt;"",$F299,$E299))</f>
        <v/>
      </c>
      <c r="H299" s="85">
        <f>IF($B299="","",TEXT($B299,"mmm yyyy"))</f>
        <v/>
      </c>
    </row>
    <row r="300" ht="18" customHeight="1">
      <c r="A300" s="10" t="n"/>
      <c r="B300" s="98" t="inlineStr">
        <is>
          <t>2026-02-24</t>
        </is>
      </c>
      <c r="C300" s="99" t="inlineStr">
        <is>
          <t>WHATABURGER 1492</t>
        </is>
      </c>
      <c r="D300" s="100" t="n">
        <v>14.95</v>
      </c>
      <c r="E300" s="104">
        <f>IF($C300="","",IFERROR(LOOKUP(2,1/((ISNUMBER(SEARCH('Category Rules'!$B$6:$B$125,$C300)))*('Category Rules'!$B$6:$B$125&lt;&gt;"")),'Category Rules'!$C$6:$C$125),"Uncategorized"))</f>
        <v/>
      </c>
      <c r="F300" s="108" t="n"/>
      <c r="G300" s="106">
        <f>IF($C300="","",IF($F300&lt;&gt;"",$F300,$E300))</f>
        <v/>
      </c>
      <c r="H300" s="82">
        <f>IF($B300="","",TEXT($B300,"mmm yyyy"))</f>
        <v/>
      </c>
    </row>
    <row r="301" ht="18" customHeight="1">
      <c r="A301" s="14" t="n"/>
      <c r="B301" s="98" t="inlineStr">
        <is>
          <t>2026-02-24</t>
        </is>
      </c>
      <c r="C301" s="99" t="inlineStr">
        <is>
          <t>JACK'S #156 HEFLIN</t>
        </is>
      </c>
      <c r="D301" s="100" t="n">
        <v>9.24</v>
      </c>
      <c r="E301" s="101">
        <f>IF($C301="","",IFERROR(LOOKUP(2,1/((ISNUMBER(SEARCH('Category Rules'!$B$6:$B$125,$C301)))*('Category Rules'!$B$6:$B$125&lt;&gt;"")),'Category Rules'!$C$6:$C$125),"Uncategorized"))</f>
        <v/>
      </c>
      <c r="F301" s="108" t="n"/>
      <c r="G301" s="103">
        <f>IF($C301="","",IF($F301&lt;&gt;"",$F301,$E301))</f>
        <v/>
      </c>
      <c r="H301" s="85">
        <f>IF($B301="","",TEXT($B301,"mmm yyyy"))</f>
        <v/>
      </c>
    </row>
    <row r="302" ht="18" customHeight="1">
      <c r="A302" s="10" t="n"/>
      <c r="B302" s="98" t="inlineStr">
        <is>
          <t>2026-02-24</t>
        </is>
      </c>
      <c r="C302" s="99" t="inlineStr">
        <is>
          <t>Bojangles 0914</t>
        </is>
      </c>
      <c r="D302" s="100" t="n">
        <v>12.52</v>
      </c>
      <c r="E302" s="104">
        <f>IF($C302="","",IFERROR(LOOKUP(2,1/((ISNUMBER(SEARCH('Category Rules'!$B$6:$B$125,$C302)))*('Category Rules'!$B$6:$B$125&lt;&gt;"")),'Category Rules'!$C$6:$C$125),"Uncategorized"))</f>
        <v/>
      </c>
      <c r="F302" s="108" t="n"/>
      <c r="G302" s="106">
        <f>IF($C302="","",IF($F302&lt;&gt;"",$F302,$E302))</f>
        <v/>
      </c>
      <c r="H302" s="82">
        <f>IF($B302="","",TEXT($B302,"mmm yyyy"))</f>
        <v/>
      </c>
    </row>
    <row r="303" ht="18" customHeight="1">
      <c r="A303" s="14" t="n"/>
      <c r="B303" s="98" t="inlineStr">
        <is>
          <t>2026-02-24</t>
        </is>
      </c>
      <c r="C303" s="99" t="inlineStr">
        <is>
          <t>JACK'S #203</t>
        </is>
      </c>
      <c r="D303" s="100" t="n">
        <v>9.789999999999999</v>
      </c>
      <c r="E303" s="101">
        <f>IF($C303="","",IFERROR(LOOKUP(2,1/((ISNUMBER(SEARCH('Category Rules'!$B$6:$B$125,$C303)))*('Category Rules'!$B$6:$B$125&lt;&gt;"")),'Category Rules'!$C$6:$C$125),"Uncategorized"))</f>
        <v/>
      </c>
      <c r="F303" s="108" t="n"/>
      <c r="G303" s="103">
        <f>IF($C303="","",IF($F303&lt;&gt;"",$F303,$E303))</f>
        <v/>
      </c>
      <c r="H303" s="85">
        <f>IF($B303="","",TEXT($B303,"mmm yyyy"))</f>
        <v/>
      </c>
    </row>
    <row r="304" ht="18" customHeight="1">
      <c r="A304" s="10" t="n"/>
      <c r="B304" s="98" t="inlineStr">
        <is>
          <t>2026-02-25</t>
        </is>
      </c>
      <c r="C304" s="99" t="inlineStr">
        <is>
          <t>HT EXPRESS 4</t>
        </is>
      </c>
      <c r="D304" s="100" t="n">
        <v>4.39</v>
      </c>
      <c r="E304" s="104">
        <f>IF($C304="","",IFERROR(LOOKUP(2,1/((ISNUMBER(SEARCH('Category Rules'!$B$6:$B$125,$C304)))*('Category Rules'!$B$6:$B$125&lt;&gt;"")),'Category Rules'!$C$6:$C$125),"Uncategorized"))</f>
        <v/>
      </c>
      <c r="F304" s="108" t="n"/>
      <c r="G304" s="106">
        <f>IF($C304="","",IF($F304&lt;&gt;"",$F304,$E304))</f>
        <v/>
      </c>
      <c r="H304" s="82">
        <f>IF($B304="","",TEXT($B304,"mmm yyyy"))</f>
        <v/>
      </c>
    </row>
    <row r="305" ht="18" customHeight="1">
      <c r="A305" s="14" t="n"/>
      <c r="B305" s="98" t="inlineStr">
        <is>
          <t>2026-02-25</t>
        </is>
      </c>
      <c r="C305" s="99" t="inlineStr">
        <is>
          <t>Bojangles 0914</t>
        </is>
      </c>
      <c r="D305" s="100" t="n">
        <v>12.52</v>
      </c>
      <c r="E305" s="101">
        <f>IF($C305="","",IFERROR(LOOKUP(2,1/((ISNUMBER(SEARCH('Category Rules'!$B$6:$B$125,$C305)))*('Category Rules'!$B$6:$B$125&lt;&gt;"")),'Category Rules'!$C$6:$C$125),"Uncategorized"))</f>
        <v/>
      </c>
      <c r="F305" s="108" t="n"/>
      <c r="G305" s="103">
        <f>IF($C305="","",IF($F305&lt;&gt;"",$F305,$E305))</f>
        <v/>
      </c>
      <c r="H305" s="85">
        <f>IF($B305="","",TEXT($B305,"mmm yyyy"))</f>
        <v/>
      </c>
    </row>
    <row r="306" ht="18" customHeight="1">
      <c r="A306" s="10" t="n"/>
      <c r="B306" s="98" t="inlineStr">
        <is>
          <t>2026-02-26</t>
        </is>
      </c>
      <c r="C306" s="99" t="inlineStr">
        <is>
          <t>DOLLAR GENERAL # DG 304</t>
        </is>
      </c>
      <c r="D306" s="100" t="n">
        <v>11.99</v>
      </c>
      <c r="E306" s="104">
        <f>IF($C306="","",IFERROR(LOOKUP(2,1/((ISNUMBER(SEARCH('Category Rules'!$B$6:$B$125,$C306)))*('Category Rules'!$B$6:$B$125&lt;&gt;"")),'Category Rules'!$C$6:$C$125),"Uncategorized"))</f>
        <v/>
      </c>
      <c r="F306" s="108" t="n"/>
      <c r="G306" s="106">
        <f>IF($C306="","",IF($F306&lt;&gt;"",$F306,$E306))</f>
        <v/>
      </c>
      <c r="H306" s="82">
        <f>IF($B306="","",TEXT($B306,"mmm yyyy"))</f>
        <v/>
      </c>
    </row>
    <row r="307" ht="18" customHeight="1">
      <c r="A307" s="14" t="n"/>
      <c r="B307" s="98" t="inlineStr">
        <is>
          <t>2026-02-26</t>
        </is>
      </c>
      <c r="C307" s="99" t="inlineStr">
        <is>
          <t>Bojangles 0914</t>
        </is>
      </c>
      <c r="D307" s="100" t="n">
        <v>8.130000000000001</v>
      </c>
      <c r="E307" s="101">
        <f>IF($C307="","",IFERROR(LOOKUP(2,1/((ISNUMBER(SEARCH('Category Rules'!$B$6:$B$125,$C307)))*('Category Rules'!$B$6:$B$125&lt;&gt;"")),'Category Rules'!$C$6:$C$125),"Uncategorized"))</f>
        <v/>
      </c>
      <c r="F307" s="108" t="n"/>
      <c r="G307" s="103">
        <f>IF($C307="","",IF($F307&lt;&gt;"",$F307,$E307))</f>
        <v/>
      </c>
      <c r="H307" s="85">
        <f>IF($B307="","",TEXT($B307,"mmm yyyy"))</f>
        <v/>
      </c>
    </row>
    <row r="308" ht="18" customHeight="1">
      <c r="A308" s="10" t="n"/>
      <c r="B308" s="98" t="inlineStr">
        <is>
          <t>2026-02-26</t>
        </is>
      </c>
      <c r="C308" s="99" t="inlineStr">
        <is>
          <t>JACK'S #153 OXFORD</t>
        </is>
      </c>
      <c r="D308" s="100" t="n">
        <v>10.99</v>
      </c>
      <c r="E308" s="104">
        <f>IF($C308="","",IFERROR(LOOKUP(2,1/((ISNUMBER(SEARCH('Category Rules'!$B$6:$B$125,$C308)))*('Category Rules'!$B$6:$B$125&lt;&gt;"")),'Category Rules'!$C$6:$C$125),"Uncategorized"))</f>
        <v/>
      </c>
      <c r="F308" s="108" t="n"/>
      <c r="G308" s="106">
        <f>IF($C308="","",IF($F308&lt;&gt;"",$F308,$E308))</f>
        <v/>
      </c>
      <c r="H308" s="82">
        <f>IF($B308="","",TEXT($B308,"mmm yyyy"))</f>
        <v/>
      </c>
    </row>
    <row r="309" ht="18" customHeight="1">
      <c r="A309" s="14" t="n"/>
      <c r="B309" s="98" t="inlineStr">
        <is>
          <t>2026-02-26</t>
        </is>
      </c>
      <c r="C309" s="99" t="inlineStr">
        <is>
          <t>APPLE.COM/BILL</t>
        </is>
      </c>
      <c r="D309" s="100" t="n">
        <v>0.99</v>
      </c>
      <c r="E309" s="101">
        <f>IF($C309="","",IFERROR(LOOKUP(2,1/((ISNUMBER(SEARCH('Category Rules'!$B$6:$B$125,$C309)))*('Category Rules'!$B$6:$B$125&lt;&gt;"")),'Category Rules'!$C$6:$C$125),"Uncategorized"))</f>
        <v/>
      </c>
      <c r="F309" s="108" t="n"/>
      <c r="G309" s="103">
        <f>IF($C309="","",IF($F309&lt;&gt;"",$F309,$E309))</f>
        <v/>
      </c>
      <c r="H309" s="85">
        <f>IF($B309="","",TEXT($B309,"mmm yyyy"))</f>
        <v/>
      </c>
    </row>
    <row r="310" ht="18" customHeight="1">
      <c r="A310" s="10" t="n"/>
      <c r="B310" s="98" t="inlineStr">
        <is>
          <t>2026-02-27</t>
        </is>
      </c>
      <c r="C310" s="99" t="inlineStr">
        <is>
          <t>DOLLAR GENERAL # DG 203</t>
        </is>
      </c>
      <c r="D310" s="100" t="n">
        <v>16.64</v>
      </c>
      <c r="E310" s="104">
        <f>IF($C310="","",IFERROR(LOOKUP(2,1/((ISNUMBER(SEARCH('Category Rules'!$B$6:$B$125,$C310)))*('Category Rules'!$B$6:$B$125&lt;&gt;"")),'Category Rules'!$C$6:$C$125),"Uncategorized"))</f>
        <v/>
      </c>
      <c r="F310" s="108" t="n"/>
      <c r="G310" s="106">
        <f>IF($C310="","",IF($F310&lt;&gt;"",$F310,$E310))</f>
        <v/>
      </c>
      <c r="H310" s="82">
        <f>IF($B310="","",TEXT($B310,"mmm yyyy"))</f>
        <v/>
      </c>
    </row>
    <row r="311" ht="18" customHeight="1">
      <c r="A311" s="14" t="n"/>
      <c r="B311" s="98" t="inlineStr">
        <is>
          <t>2026-02-27</t>
        </is>
      </c>
      <c r="C311" s="99" t="inlineStr">
        <is>
          <t>PIGGLY WIGGLY O</t>
        </is>
      </c>
      <c r="D311" s="100" t="n">
        <v>2.02</v>
      </c>
      <c r="E311" s="101">
        <f>IF($C311="","",IFERROR(LOOKUP(2,1/((ISNUMBER(SEARCH('Category Rules'!$B$6:$B$125,$C311)))*('Category Rules'!$B$6:$B$125&lt;&gt;"")),'Category Rules'!$C$6:$C$125),"Uncategorized"))</f>
        <v/>
      </c>
      <c r="F311" s="108" t="n"/>
      <c r="G311" s="103">
        <f>IF($C311="","",IF($F311&lt;&gt;"",$F311,$E311))</f>
        <v/>
      </c>
      <c r="H311" s="85">
        <f>IF($B311="","",TEXT($B311,"mmm yyyy"))</f>
        <v/>
      </c>
    </row>
    <row r="312" ht="18" customHeight="1">
      <c r="A312" s="10" t="n"/>
      <c r="B312" s="98" t="inlineStr">
        <is>
          <t>2026-02-27</t>
        </is>
      </c>
      <c r="C312" s="99" t="inlineStr">
        <is>
          <t>W. M. GROCERY</t>
        </is>
      </c>
      <c r="D312" s="100" t="n">
        <v>1.39</v>
      </c>
      <c r="E312" s="104">
        <f>IF($C312="","",IFERROR(LOOKUP(2,1/((ISNUMBER(SEARCH('Category Rules'!$B$6:$B$125,$C312)))*('Category Rules'!$B$6:$B$125&lt;&gt;"")),'Category Rules'!$C$6:$C$125),"Uncategorized"))</f>
        <v/>
      </c>
      <c r="F312" s="108" t="n"/>
      <c r="G312" s="106">
        <f>IF($C312="","",IF($F312&lt;&gt;"",$F312,$E312))</f>
        <v/>
      </c>
      <c r="H312" s="82">
        <f>IF($B312="","",TEXT($B312,"mmm yyyy"))</f>
        <v/>
      </c>
    </row>
    <row r="313" ht="18" customHeight="1">
      <c r="A313" s="14" t="n"/>
      <c r="B313" s="98" t="inlineStr">
        <is>
          <t>2026-02-27</t>
        </is>
      </c>
      <c r="C313" s="99" t="inlineStr">
        <is>
          <t>W. M. GROCERY</t>
        </is>
      </c>
      <c r="D313" s="100" t="n">
        <v>1.61</v>
      </c>
      <c r="E313" s="101">
        <f>IF($C313="","",IFERROR(LOOKUP(2,1/((ISNUMBER(SEARCH('Category Rules'!$B$6:$B$125,$C313)))*('Category Rules'!$B$6:$B$125&lt;&gt;"")),'Category Rules'!$C$6:$C$125),"Uncategorized"))</f>
        <v/>
      </c>
      <c r="F313" s="108" t="n"/>
      <c r="G313" s="103">
        <f>IF($C313="","",IF($F313&lt;&gt;"",$F313,$E313))</f>
        <v/>
      </c>
      <c r="H313" s="85">
        <f>IF($B313="","",TEXT($B313,"mmm yyyy"))</f>
        <v/>
      </c>
    </row>
    <row r="314" ht="18" customHeight="1">
      <c r="A314" s="10" t="n"/>
      <c r="B314" s="98" t="inlineStr">
        <is>
          <t>2026-02-27</t>
        </is>
      </c>
      <c r="C314" s="99" t="inlineStr">
        <is>
          <t>PIGGLY WIGGLY #</t>
        </is>
      </c>
      <c r="D314" s="100" t="n">
        <v>2.34</v>
      </c>
      <c r="E314" s="104">
        <f>IF($C314="","",IFERROR(LOOKUP(2,1/((ISNUMBER(SEARCH('Category Rules'!$B$6:$B$125,$C314)))*('Category Rules'!$B$6:$B$125&lt;&gt;"")),'Category Rules'!$C$6:$C$125),"Uncategorized"))</f>
        <v/>
      </c>
      <c r="F314" s="108" t="n"/>
      <c r="G314" s="106">
        <f>IF($C314="","",IF($F314&lt;&gt;"",$F314,$E314))</f>
        <v/>
      </c>
      <c r="H314" s="82">
        <f>IF($B314="","",TEXT($B314,"mmm yyyy"))</f>
        <v/>
      </c>
    </row>
    <row r="315" ht="18" customHeight="1">
      <c r="A315" s="14" t="n"/>
      <c r="B315" s="98" t="inlineStr">
        <is>
          <t>2026-02-27</t>
        </is>
      </c>
      <c r="C315" s="99" t="inlineStr">
        <is>
          <t>W M GROCERY</t>
        </is>
      </c>
      <c r="D315" s="100" t="n">
        <v>3.2</v>
      </c>
      <c r="E315" s="101">
        <f>IF($C315="","",IFERROR(LOOKUP(2,1/((ISNUMBER(SEARCH('Category Rules'!$B$6:$B$125,$C315)))*('Category Rules'!$B$6:$B$125&lt;&gt;"")),'Category Rules'!$C$6:$C$125),"Uncategorized"))</f>
        <v/>
      </c>
      <c r="F315" s="108" t="n"/>
      <c r="G315" s="103">
        <f>IF($C315="","",IF($F315&lt;&gt;"",$F315,$E315))</f>
        <v/>
      </c>
      <c r="H315" s="85">
        <f>IF($B315="","",TEXT($B315,"mmm yyyy"))</f>
        <v/>
      </c>
    </row>
    <row r="316" ht="18" customHeight="1">
      <c r="A316" s="10" t="n"/>
      <c r="B316" s="98" t="inlineStr">
        <is>
          <t>2026-02-27</t>
        </is>
      </c>
      <c r="C316" s="99" t="inlineStr">
        <is>
          <t>MCDONALD'S F6920</t>
        </is>
      </c>
      <c r="D316" s="100" t="n">
        <v>15.81</v>
      </c>
      <c r="E316" s="104">
        <f>IF($C316="","",IFERROR(LOOKUP(2,1/((ISNUMBER(SEARCH('Category Rules'!$B$6:$B$125,$C316)))*('Category Rules'!$B$6:$B$125&lt;&gt;"")),'Category Rules'!$C$6:$C$125),"Uncategorized"))</f>
        <v/>
      </c>
      <c r="F316" s="108" t="n"/>
      <c r="G316" s="106">
        <f>IF($C316="","",IF($F316&lt;&gt;"",$F316,$E316))</f>
        <v/>
      </c>
      <c r="H316" s="82">
        <f>IF($B316="","",TEXT($B316,"mmm yyyy"))</f>
        <v/>
      </c>
    </row>
    <row r="317" ht="18" customHeight="1">
      <c r="A317" s="14" t="n"/>
      <c r="B317" s="98" t="inlineStr">
        <is>
          <t>2026-02-27</t>
        </is>
      </c>
      <c r="C317" s="99" t="inlineStr">
        <is>
          <t>JACK'S #200</t>
        </is>
      </c>
      <c r="D317" s="100" t="n">
        <v>10.99</v>
      </c>
      <c r="E317" s="101">
        <f>IF($C317="","",IFERROR(LOOKUP(2,1/((ISNUMBER(SEARCH('Category Rules'!$B$6:$B$125,$C317)))*('Category Rules'!$B$6:$B$125&lt;&gt;"")),'Category Rules'!$C$6:$C$125),"Uncategorized"))</f>
        <v/>
      </c>
      <c r="F317" s="108" t="n"/>
      <c r="G317" s="103">
        <f>IF($C317="","",IF($F317&lt;&gt;"",$F317,$E317))</f>
        <v/>
      </c>
      <c r="H317" s="85">
        <f>IF($B317="","",TEXT($B317,"mmm yyyy"))</f>
        <v/>
      </c>
    </row>
    <row r="318" ht="18" customHeight="1">
      <c r="A318" s="10" t="n"/>
      <c r="B318" s="98" t="inlineStr">
        <is>
          <t>2026-02-28</t>
        </is>
      </c>
      <c r="C318" s="99" t="inlineStr">
        <is>
          <t>MARATHON 154054</t>
        </is>
      </c>
      <c r="D318" s="100" t="n">
        <v>21.83</v>
      </c>
      <c r="E318" s="104">
        <f>IF($C318="","",IFERROR(LOOKUP(2,1/((ISNUMBER(SEARCH('Category Rules'!$B$6:$B$125,$C318)))*('Category Rules'!$B$6:$B$125&lt;&gt;"")),'Category Rules'!$C$6:$C$125),"Uncategorized"))</f>
        <v/>
      </c>
      <c r="F318" s="108" t="n"/>
      <c r="G318" s="106">
        <f>IF($C318="","",IF($F318&lt;&gt;"",$F318,$E318))</f>
        <v/>
      </c>
      <c r="H318" s="82">
        <f>IF($B318="","",TEXT($B318,"mmm yyyy"))</f>
        <v/>
      </c>
    </row>
    <row r="319" ht="18" customHeight="1">
      <c r="A319" s="14" t="n"/>
      <c r="B319" s="98" t="inlineStr">
        <is>
          <t>2026-02-28</t>
        </is>
      </c>
      <c r="C319" s="99" t="inlineStr">
        <is>
          <t>PERRYLAND FOODS</t>
        </is>
      </c>
      <c r="D319" s="100" t="n">
        <v>6.73</v>
      </c>
      <c r="E319" s="101">
        <f>IF($C319="","",IFERROR(LOOKUP(2,1/((ISNUMBER(SEARCH('Category Rules'!$B$6:$B$125,$C319)))*('Category Rules'!$B$6:$B$125&lt;&gt;"")),'Category Rules'!$C$6:$C$125),"Uncategorized"))</f>
        <v/>
      </c>
      <c r="F319" s="108" t="n"/>
      <c r="G319" s="103">
        <f>IF($C319="","",IF($F319&lt;&gt;"",$F319,$E319))</f>
        <v/>
      </c>
      <c r="H319" s="85">
        <f>IF($B319="","",TEXT($B319,"mmm yyyy"))</f>
        <v/>
      </c>
    </row>
    <row r="320" ht="18" customHeight="1">
      <c r="A320" s="10" t="n"/>
      <c r="B320" s="98" t="inlineStr">
        <is>
          <t>2026-02-28</t>
        </is>
      </c>
      <c r="C320" s="99" t="inlineStr">
        <is>
          <t>THE GREEN STORES</t>
        </is>
      </c>
      <c r="D320" s="100" t="n">
        <v>62.38</v>
      </c>
      <c r="E320" s="104">
        <f>IF($C320="","",IFERROR(LOOKUP(2,1/((ISNUMBER(SEARCH('Category Rules'!$B$6:$B$125,$C320)))*('Category Rules'!$B$6:$B$125&lt;&gt;"")),'Category Rules'!$C$6:$C$125),"Uncategorized"))</f>
        <v/>
      </c>
      <c r="F320" s="108" t="n"/>
      <c r="G320" s="106">
        <f>IF($C320="","",IF($F320&lt;&gt;"",$F320,$E320))</f>
        <v/>
      </c>
      <c r="H320" s="82">
        <f>IF($B320="","",TEXT($B320,"mmm yyyy"))</f>
        <v/>
      </c>
    </row>
    <row r="321" ht="18" customHeight="1">
      <c r="A321" s="14" t="n"/>
      <c r="B321" s="98" t="inlineStr">
        <is>
          <t>2026-02-28</t>
        </is>
      </c>
      <c r="C321" s="99" t="inlineStr">
        <is>
          <t>W M GROCERY</t>
        </is>
      </c>
      <c r="D321" s="100" t="n">
        <v>1.38</v>
      </c>
      <c r="E321" s="101">
        <f>IF($C321="","",IFERROR(LOOKUP(2,1/((ISNUMBER(SEARCH('Category Rules'!$B$6:$B$125,$C321)))*('Category Rules'!$B$6:$B$125&lt;&gt;"")),'Category Rules'!$C$6:$C$125),"Uncategorized"))</f>
        <v/>
      </c>
      <c r="F321" s="108" t="n"/>
      <c r="G321" s="103">
        <f>IF($C321="","",IF($F321&lt;&gt;"",$F321,$E321))</f>
        <v/>
      </c>
      <c r="H321" s="85">
        <f>IF($B321="","",TEXT($B321,"mmm yyyy"))</f>
        <v/>
      </c>
    </row>
    <row r="322" ht="18" customHeight="1">
      <c r="A322" s="10" t="n"/>
      <c r="B322" s="98" t="inlineStr">
        <is>
          <t>2026-02-28</t>
        </is>
      </c>
      <c r="C322" s="99" t="inlineStr">
        <is>
          <t>W M GROCERY</t>
        </is>
      </c>
      <c r="D322" s="100" t="n">
        <v>3.2</v>
      </c>
      <c r="E322" s="104">
        <f>IF($C322="","",IFERROR(LOOKUP(2,1/((ISNUMBER(SEARCH('Category Rules'!$B$6:$B$125,$C322)))*('Category Rules'!$B$6:$B$125&lt;&gt;"")),'Category Rules'!$C$6:$C$125),"Uncategorized"))</f>
        <v/>
      </c>
      <c r="F322" s="108" t="n"/>
      <c r="G322" s="106">
        <f>IF($C322="","",IF($F322&lt;&gt;"",$F322,$E322))</f>
        <v/>
      </c>
      <c r="H322" s="82">
        <f>IF($B322="","",TEXT($B322,"mmm yyyy"))</f>
        <v/>
      </c>
    </row>
    <row r="323" ht="18" customHeight="1">
      <c r="A323" s="14" t="n"/>
      <c r="B323" s="98" t="inlineStr">
        <is>
          <t>2026-02-28</t>
        </is>
      </c>
      <c r="C323" s="99" t="inlineStr">
        <is>
          <t>CHICK-FIL-A #04457</t>
        </is>
      </c>
      <c r="D323" s="100" t="n">
        <v>11.72</v>
      </c>
      <c r="E323" s="101">
        <f>IF($C323="","",IFERROR(LOOKUP(2,1/((ISNUMBER(SEARCH('Category Rules'!$B$6:$B$125,$C323)))*('Category Rules'!$B$6:$B$125&lt;&gt;"")),'Category Rules'!$C$6:$C$125),"Uncategorized"))</f>
        <v/>
      </c>
      <c r="F323" s="108" t="n"/>
      <c r="G323" s="103">
        <f>IF($C323="","",IF($F323&lt;&gt;"",$F323,$E323))</f>
        <v/>
      </c>
      <c r="H323" s="85">
        <f>IF($B323="","",TEXT($B323,"mmm yyyy"))</f>
        <v/>
      </c>
    </row>
    <row r="324" ht="18" customHeight="1">
      <c r="A324" s="10" t="n"/>
      <c r="B324" s="98" t="inlineStr">
        <is>
          <t>2026-02-28</t>
        </is>
      </c>
      <c r="C324" s="99" t="inlineStr">
        <is>
          <t>TST* ROCK N ROOSTER SA</t>
        </is>
      </c>
      <c r="D324" s="100" t="n">
        <v>56.3</v>
      </c>
      <c r="E324" s="104">
        <f>IF($C324="","",IFERROR(LOOKUP(2,1/((ISNUMBER(SEARCH('Category Rules'!$B$6:$B$125,$C324)))*('Category Rules'!$B$6:$B$125&lt;&gt;"")),'Category Rules'!$C$6:$C$125),"Uncategorized"))</f>
        <v/>
      </c>
      <c r="F324" s="108" t="n"/>
      <c r="G324" s="106">
        <f>IF($C324="","",IF($F324&lt;&gt;"",$F324,$E324))</f>
        <v/>
      </c>
      <c r="H324" s="82">
        <f>IF($B324="","",TEXT($B324,"mmm yyyy"))</f>
        <v/>
      </c>
    </row>
    <row r="325" ht="18" customHeight="1">
      <c r="A325" s="14" t="n"/>
      <c r="B325" s="98" t="inlineStr">
        <is>
          <t>2026-02-28</t>
        </is>
      </c>
      <c r="C325" s="99" t="inlineStr">
        <is>
          <t>SQ *JASMYNE TURNER</t>
        </is>
      </c>
      <c r="D325" s="100" t="n">
        <v>30</v>
      </c>
      <c r="E325" s="101">
        <f>IF($C325="","",IFERROR(LOOKUP(2,1/((ISNUMBER(SEARCH('Category Rules'!$B$6:$B$125,$C325)))*('Category Rules'!$B$6:$B$125&lt;&gt;"")),'Category Rules'!$C$6:$C$125),"Uncategorized"))</f>
        <v/>
      </c>
      <c r="F325" s="108" t="n"/>
      <c r="G325" s="103">
        <f>IF($C325="","",IF($F325&lt;&gt;"",$F325,$E325))</f>
        <v/>
      </c>
      <c r="H325" s="85">
        <f>IF($B325="","",TEXT($B325,"mmm yyyy"))</f>
        <v/>
      </c>
    </row>
    <row r="326" ht="18" customHeight="1">
      <c r="A326" s="10" t="n"/>
      <c r="B326" s="98" t="inlineStr">
        <is>
          <t>2026-03-01</t>
        </is>
      </c>
      <c r="C326" s="99" t="inlineStr">
        <is>
          <t>PIC'N SAVE #248</t>
        </is>
      </c>
      <c r="D326" s="100" t="n">
        <v>8.710000000000001</v>
      </c>
      <c r="E326" s="104">
        <f>IF($C326="","",IFERROR(LOOKUP(2,1/((ISNUMBER(SEARCH('Category Rules'!$B$6:$B$125,$C326)))*('Category Rules'!$B$6:$B$125&lt;&gt;"")),'Category Rules'!$C$6:$C$125),"Uncategorized"))</f>
        <v/>
      </c>
      <c r="F326" s="108" t="n"/>
      <c r="G326" s="106">
        <f>IF($C326="","",IF($F326&lt;&gt;"",$F326,$E326))</f>
        <v/>
      </c>
      <c r="H326" s="82">
        <f>IF($B326="","",TEXT($B326,"mmm yyyy"))</f>
        <v/>
      </c>
    </row>
    <row r="327" ht="18" customHeight="1">
      <c r="A327" s="14" t="n"/>
      <c r="B327" s="98" t="inlineStr">
        <is>
          <t>2026-03-01</t>
        </is>
      </c>
      <c r="C327" s="99" t="inlineStr">
        <is>
          <t>PIC'N SAVE #248</t>
        </is>
      </c>
      <c r="D327" s="100" t="n">
        <v>1.91</v>
      </c>
      <c r="E327" s="101">
        <f>IF($C327="","",IFERROR(LOOKUP(2,1/((ISNUMBER(SEARCH('Category Rules'!$B$6:$B$125,$C327)))*('Category Rules'!$B$6:$B$125&lt;&gt;"")),'Category Rules'!$C$6:$C$125),"Uncategorized"))</f>
        <v/>
      </c>
      <c r="F327" s="108" t="n"/>
      <c r="G327" s="103">
        <f>IF($C327="","",IF($F327&lt;&gt;"",$F327,$E327))</f>
        <v/>
      </c>
      <c r="H327" s="85">
        <f>IF($B327="","",TEXT($B327,"mmm yyyy"))</f>
        <v/>
      </c>
    </row>
    <row r="328" ht="18" customHeight="1">
      <c r="A328" s="10" t="n"/>
      <c r="B328" s="98" t="inlineStr">
        <is>
          <t>2026-03-01</t>
        </is>
      </c>
      <c r="C328" s="99" t="inlineStr">
        <is>
          <t>WHATABURGER 1492</t>
        </is>
      </c>
      <c r="D328" s="100" t="n">
        <v>16.53</v>
      </c>
      <c r="E328" s="104">
        <f>IF($C328="","",IFERROR(LOOKUP(2,1/((ISNUMBER(SEARCH('Category Rules'!$B$6:$B$125,$C328)))*('Category Rules'!$B$6:$B$125&lt;&gt;"")),'Category Rules'!$C$6:$C$125),"Uncategorized"))</f>
        <v/>
      </c>
      <c r="F328" s="108" t="n"/>
      <c r="G328" s="106">
        <f>IF($C328="","",IF($F328&lt;&gt;"",$F328,$E328))</f>
        <v/>
      </c>
      <c r="H328" s="82">
        <f>IF($B328="","",TEXT($B328,"mmm yyyy"))</f>
        <v/>
      </c>
    </row>
    <row r="329" ht="18" customHeight="1">
      <c r="A329" s="14" t="n"/>
      <c r="B329" s="98" t="inlineStr">
        <is>
          <t>2026-03-01</t>
        </is>
      </c>
      <c r="C329" s="99" t="inlineStr">
        <is>
          <t>YAMATO STEAK HOUSE OF</t>
        </is>
      </c>
      <c r="D329" s="100" t="n">
        <v>21.58</v>
      </c>
      <c r="E329" s="101">
        <f>IF($C329="","",IFERROR(LOOKUP(2,1/((ISNUMBER(SEARCH('Category Rules'!$B$6:$B$125,$C329)))*('Category Rules'!$B$6:$B$125&lt;&gt;"")),'Category Rules'!$C$6:$C$125),"Uncategorized"))</f>
        <v/>
      </c>
      <c r="F329" s="108" t="n"/>
      <c r="G329" s="103">
        <f>IF($C329="","",IF($F329&lt;&gt;"",$F329,$E329))</f>
        <v/>
      </c>
      <c r="H329" s="85">
        <f>IF($B329="","",TEXT($B329,"mmm yyyy"))</f>
        <v/>
      </c>
    </row>
    <row r="330" ht="18" customHeight="1">
      <c r="A330" s="10" t="n"/>
      <c r="B330" s="98" t="inlineStr">
        <is>
          <t>2026-03-02</t>
        </is>
      </c>
      <c r="C330" s="99" t="inlineStr">
        <is>
          <t>WAL-MART #0300</t>
        </is>
      </c>
      <c r="D330" s="100" t="n">
        <v>154.26</v>
      </c>
      <c r="E330" s="104">
        <f>IF($C330="","",IFERROR(LOOKUP(2,1/((ISNUMBER(SEARCH('Category Rules'!$B$6:$B$125,$C330)))*('Category Rules'!$B$6:$B$125&lt;&gt;"")),'Category Rules'!$C$6:$C$125),"Uncategorized"))</f>
        <v/>
      </c>
      <c r="F330" s="108" t="n"/>
      <c r="G330" s="106">
        <f>IF($C330="","",IF($F330&lt;&gt;"",$F330,$E330))</f>
        <v/>
      </c>
      <c r="H330" s="82">
        <f>IF($B330="","",TEXT($B330,"mmm yyyy"))</f>
        <v/>
      </c>
    </row>
    <row r="331" ht="18" customHeight="1">
      <c r="A331" s="14" t="n"/>
      <c r="B331" s="98" t="inlineStr">
        <is>
          <t>2026-03-02</t>
        </is>
      </c>
      <c r="C331" s="99" t="inlineStr">
        <is>
          <t>PIC'N SAVE #248</t>
        </is>
      </c>
      <c r="D331" s="100" t="n">
        <v>1.79</v>
      </c>
      <c r="E331" s="101">
        <f>IF($C331="","",IFERROR(LOOKUP(2,1/((ISNUMBER(SEARCH('Category Rules'!$B$6:$B$125,$C331)))*('Category Rules'!$B$6:$B$125&lt;&gt;"")),'Category Rules'!$C$6:$C$125),"Uncategorized"))</f>
        <v/>
      </c>
      <c r="F331" s="108" t="n"/>
      <c r="G331" s="103">
        <f>IF($C331="","",IF($F331&lt;&gt;"",$F331,$E331))</f>
        <v/>
      </c>
      <c r="H331" s="85">
        <f>IF($B331="","",TEXT($B331,"mmm yyyy"))</f>
        <v/>
      </c>
    </row>
    <row r="332" ht="18" customHeight="1">
      <c r="A332" s="10" t="n"/>
      <c r="B332" s="98" t="inlineStr">
        <is>
          <t>2026-03-02</t>
        </is>
      </c>
      <c r="C332" s="99" t="inlineStr">
        <is>
          <t>JACK'S #200</t>
        </is>
      </c>
      <c r="D332" s="100" t="n">
        <v>10.99</v>
      </c>
      <c r="E332" s="104">
        <f>IF($C332="","",IFERROR(LOOKUP(2,1/((ISNUMBER(SEARCH('Category Rules'!$B$6:$B$125,$C332)))*('Category Rules'!$B$6:$B$125&lt;&gt;"")),'Category Rules'!$C$6:$C$125),"Uncategorized"))</f>
        <v/>
      </c>
      <c r="F332" s="108" t="n"/>
      <c r="G332" s="106">
        <f>IF($C332="","",IF($F332&lt;&gt;"",$F332,$E332))</f>
        <v/>
      </c>
      <c r="H332" s="82">
        <f>IF($B332="","",TEXT($B332,"mmm yyyy"))</f>
        <v/>
      </c>
    </row>
    <row r="333" ht="18" customHeight="1">
      <c r="A333" s="14" t="n"/>
      <c r="B333" s="98" t="inlineStr">
        <is>
          <t>2026-03-02</t>
        </is>
      </c>
      <c r="C333" s="99" t="inlineStr">
        <is>
          <t>JACK'S #156 HEFLIN</t>
        </is>
      </c>
      <c r="D333" s="100" t="n">
        <v>8.81</v>
      </c>
      <c r="E333" s="101">
        <f>IF($C333="","",IFERROR(LOOKUP(2,1/((ISNUMBER(SEARCH('Category Rules'!$B$6:$B$125,$C333)))*('Category Rules'!$B$6:$B$125&lt;&gt;"")),'Category Rules'!$C$6:$C$125),"Uncategorized"))</f>
        <v/>
      </c>
      <c r="F333" s="108" t="n"/>
      <c r="G333" s="103">
        <f>IF($C333="","",IF($F333&lt;&gt;"",$F333,$E333))</f>
        <v/>
      </c>
      <c r="H333" s="85">
        <f>IF($B333="","",TEXT($B333,"mmm yyyy"))</f>
        <v/>
      </c>
    </row>
    <row r="334" ht="18" customHeight="1">
      <c r="A334" s="10" t="n"/>
      <c r="B334" s="98" t="inlineStr">
        <is>
          <t>2026-03-03</t>
        </is>
      </c>
      <c r="C334" s="99" t="inlineStr">
        <is>
          <t>PERRYLAND FOODS</t>
        </is>
      </c>
      <c r="D334" s="100" t="n">
        <v>1.97</v>
      </c>
      <c r="E334" s="104">
        <f>IF($C334="","",IFERROR(LOOKUP(2,1/((ISNUMBER(SEARCH('Category Rules'!$B$6:$B$125,$C334)))*('Category Rules'!$B$6:$B$125&lt;&gt;"")),'Category Rules'!$C$6:$C$125),"Uncategorized"))</f>
        <v/>
      </c>
      <c r="F334" s="108" t="n"/>
      <c r="G334" s="106">
        <f>IF($C334="","",IF($F334&lt;&gt;"",$F334,$E334))</f>
        <v/>
      </c>
      <c r="H334" s="82">
        <f>IF($B334="","",TEXT($B334,"mmm yyyy"))</f>
        <v/>
      </c>
    </row>
    <row r="335" ht="18" customHeight="1">
      <c r="A335" s="14" t="n"/>
      <c r="B335" s="98" t="inlineStr">
        <is>
          <t>2026-03-03</t>
        </is>
      </c>
      <c r="C335" s="99" t="inlineStr">
        <is>
          <t>W. M. GROCERY</t>
        </is>
      </c>
      <c r="D335" s="100" t="n">
        <v>10.68</v>
      </c>
      <c r="E335" s="101">
        <f>IF($C335="","",IFERROR(LOOKUP(2,1/((ISNUMBER(SEARCH('Category Rules'!$B$6:$B$125,$C335)))*('Category Rules'!$B$6:$B$125&lt;&gt;"")),'Category Rules'!$C$6:$C$125),"Uncategorized"))</f>
        <v/>
      </c>
      <c r="F335" s="108" t="n"/>
      <c r="G335" s="103">
        <f>IF($C335="","",IF($F335&lt;&gt;"",$F335,$E335))</f>
        <v/>
      </c>
      <c r="H335" s="85">
        <f>IF($B335="","",TEXT($B335,"mmm yyyy"))</f>
        <v/>
      </c>
    </row>
    <row r="336" ht="18" customHeight="1">
      <c r="A336" s="10" t="n"/>
      <c r="B336" s="98" t="inlineStr">
        <is>
          <t>2026-03-03</t>
        </is>
      </c>
      <c r="C336" s="99" t="inlineStr">
        <is>
          <t>JACK'S #156 HEFLIN</t>
        </is>
      </c>
      <c r="D336" s="100" t="n">
        <v>9.68</v>
      </c>
      <c r="E336" s="104">
        <f>IF($C336="","",IFERROR(LOOKUP(2,1/((ISNUMBER(SEARCH('Category Rules'!$B$6:$B$125,$C336)))*('Category Rules'!$B$6:$B$125&lt;&gt;"")),'Category Rules'!$C$6:$C$125),"Uncategorized"))</f>
        <v/>
      </c>
      <c r="F336" s="108" t="n"/>
      <c r="G336" s="106">
        <f>IF($C336="","",IF($F336&lt;&gt;"",$F336,$E336))</f>
        <v/>
      </c>
      <c r="H336" s="82">
        <f>IF($B336="","",TEXT($B336,"mmm yyyy"))</f>
        <v/>
      </c>
    </row>
    <row r="337" ht="18" customHeight="1">
      <c r="A337" s="14" t="n"/>
      <c r="B337" s="98" t="inlineStr">
        <is>
          <t>2026-03-03</t>
        </is>
      </c>
      <c r="C337" s="99" t="inlineStr">
        <is>
          <t>JACK'S #156 HEFLIN</t>
        </is>
      </c>
      <c r="D337" s="100" t="n">
        <v>10.89</v>
      </c>
      <c r="E337" s="101">
        <f>IF($C337="","",IFERROR(LOOKUP(2,1/((ISNUMBER(SEARCH('Category Rules'!$B$6:$B$125,$C337)))*('Category Rules'!$B$6:$B$125&lt;&gt;"")),'Category Rules'!$C$6:$C$125),"Uncategorized"))</f>
        <v/>
      </c>
      <c r="F337" s="108" t="n"/>
      <c r="G337" s="103">
        <f>IF($C337="","",IF($F337&lt;&gt;"",$F337,$E337))</f>
        <v/>
      </c>
      <c r="H337" s="85">
        <f>IF($B337="","",TEXT($B337,"mmm yyyy"))</f>
        <v/>
      </c>
    </row>
    <row r="338" ht="18" customHeight="1">
      <c r="A338" s="10" t="n"/>
      <c r="B338" s="98" t="inlineStr">
        <is>
          <t>2026-03-03</t>
        </is>
      </c>
      <c r="C338" s="99" t="inlineStr">
        <is>
          <t>Bojangles 0914</t>
        </is>
      </c>
      <c r="D338" s="100" t="n">
        <v>8.130000000000001</v>
      </c>
      <c r="E338" s="104">
        <f>IF($C338="","",IFERROR(LOOKUP(2,1/((ISNUMBER(SEARCH('Category Rules'!$B$6:$B$125,$C338)))*('Category Rules'!$B$6:$B$125&lt;&gt;"")),'Category Rules'!$C$6:$C$125),"Uncategorized"))</f>
        <v/>
      </c>
      <c r="F338" s="108" t="n"/>
      <c r="G338" s="106">
        <f>IF($C338="","",IF($F338&lt;&gt;"",$F338,$E338))</f>
        <v/>
      </c>
      <c r="H338" s="82">
        <f>IF($B338="","",TEXT($B338,"mmm yyyy"))</f>
        <v/>
      </c>
    </row>
    <row r="339" ht="18" customHeight="1">
      <c r="A339" s="14" t="n"/>
      <c r="B339" s="98" t="inlineStr">
        <is>
          <t>2026-03-03</t>
        </is>
      </c>
      <c r="C339" s="99" t="inlineStr">
        <is>
          <t>CASH APP*JOHN BURGE</t>
        </is>
      </c>
      <c r="D339" s="100" t="n">
        <v>15.5</v>
      </c>
      <c r="E339" s="101">
        <f>IF($C339="","",IFERROR(LOOKUP(2,1/((ISNUMBER(SEARCH('Category Rules'!$B$6:$B$125,$C339)))*('Category Rules'!$B$6:$B$125&lt;&gt;"")),'Category Rules'!$C$6:$C$125),"Uncategorized"))</f>
        <v/>
      </c>
      <c r="F339" s="108" t="n"/>
      <c r="G339" s="103">
        <f>IF($C339="","",IF($F339&lt;&gt;"",$F339,$E339))</f>
        <v/>
      </c>
      <c r="H339" s="85">
        <f>IF($B339="","",TEXT($B339,"mmm yyyy"))</f>
        <v/>
      </c>
    </row>
    <row r="340" ht="18" customHeight="1">
      <c r="A340" s="10" t="n"/>
      <c r="B340" s="98" t="inlineStr">
        <is>
          <t>2026-03-04</t>
        </is>
      </c>
      <c r="C340" s="99" t="inlineStr">
        <is>
          <t>Bojangles 0914</t>
        </is>
      </c>
      <c r="D340" s="100" t="n">
        <v>8.130000000000001</v>
      </c>
      <c r="E340" s="104">
        <f>IF($C340="","",IFERROR(LOOKUP(2,1/((ISNUMBER(SEARCH('Category Rules'!$B$6:$B$125,$C340)))*('Category Rules'!$B$6:$B$125&lt;&gt;"")),'Category Rules'!$C$6:$C$125),"Uncategorized"))</f>
        <v/>
      </c>
      <c r="F340" s="108" t="n"/>
      <c r="G340" s="106">
        <f>IF($C340="","",IF($F340&lt;&gt;"",$F340,$E340))</f>
        <v/>
      </c>
      <c r="H340" s="82">
        <f>IF($B340="","",TEXT($B340,"mmm yyyy"))</f>
        <v/>
      </c>
    </row>
    <row r="341" ht="18" customHeight="1">
      <c r="A341" s="14" t="n"/>
      <c r="B341" s="98" t="inlineStr">
        <is>
          <t>2026-03-04</t>
        </is>
      </c>
      <c r="C341" s="99" t="inlineStr">
        <is>
          <t>TACO BELL #7029147</t>
        </is>
      </c>
      <c r="D341" s="100" t="n">
        <v>9.9</v>
      </c>
      <c r="E341" s="101">
        <f>IF($C341="","",IFERROR(LOOKUP(2,1/((ISNUMBER(SEARCH('Category Rules'!$B$6:$B$125,$C341)))*('Category Rules'!$B$6:$B$125&lt;&gt;"")),'Category Rules'!$C$6:$C$125),"Uncategorized"))</f>
        <v/>
      </c>
      <c r="F341" s="108" t="n"/>
      <c r="G341" s="103">
        <f>IF($C341="","",IF($F341&lt;&gt;"",$F341,$E341))</f>
        <v/>
      </c>
      <c r="H341" s="85">
        <f>IF($B341="","",TEXT($B341,"mmm yyyy"))</f>
        <v/>
      </c>
    </row>
    <row r="342" ht="18" customHeight="1">
      <c r="A342" s="10" t="n"/>
      <c r="B342" s="98" t="inlineStr">
        <is>
          <t>2026-03-04</t>
        </is>
      </c>
      <c r="C342" s="99" t="inlineStr">
        <is>
          <t>PILOT # 1549</t>
        </is>
      </c>
      <c r="D342" s="100" t="n">
        <v>3.88</v>
      </c>
      <c r="E342" s="104">
        <f>IF($C342="","",IFERROR(LOOKUP(2,1/((ISNUMBER(SEARCH('Category Rules'!$B$6:$B$125,$C342)))*('Category Rules'!$B$6:$B$125&lt;&gt;"")),'Category Rules'!$C$6:$C$125),"Uncategorized"))</f>
        <v/>
      </c>
      <c r="F342" s="108" t="n"/>
      <c r="G342" s="106">
        <f>IF($C342="","",IF($F342&lt;&gt;"",$F342,$E342))</f>
        <v/>
      </c>
      <c r="H342" s="82">
        <f>IF($B342="","",TEXT($B342,"mmm yyyy"))</f>
        <v/>
      </c>
    </row>
    <row r="343" ht="18" customHeight="1">
      <c r="A343" s="14" t="n"/>
      <c r="B343" s="98" t="inlineStr">
        <is>
          <t>2026-03-05</t>
        </is>
      </c>
      <c r="C343" s="99" t="inlineStr">
        <is>
          <t>TACO BELL #7029147</t>
        </is>
      </c>
      <c r="D343" s="100" t="n">
        <v>6.92</v>
      </c>
      <c r="E343" s="101">
        <f>IF($C343="","",IFERROR(LOOKUP(2,1/((ISNUMBER(SEARCH('Category Rules'!$B$6:$B$125,$C343)))*('Category Rules'!$B$6:$B$125&lt;&gt;"")),'Category Rules'!$C$6:$C$125),"Uncategorized"))</f>
        <v/>
      </c>
      <c r="F343" s="108" t="n"/>
      <c r="G343" s="103">
        <f>IF($C343="","",IF($F343&lt;&gt;"",$F343,$E343))</f>
        <v/>
      </c>
      <c r="H343" s="85">
        <f>IF($B343="","",TEXT($B343,"mmm yyyy"))</f>
        <v/>
      </c>
    </row>
    <row r="344" ht="18" customHeight="1">
      <c r="A344" s="10" t="n"/>
      <c r="B344" s="98" t="inlineStr">
        <is>
          <t>2026-03-05</t>
        </is>
      </c>
      <c r="C344" s="99" t="inlineStr">
        <is>
          <t>JACK'S #153 OXFORD</t>
        </is>
      </c>
      <c r="D344" s="100" t="n">
        <v>12.85</v>
      </c>
      <c r="E344" s="104">
        <f>IF($C344="","",IFERROR(LOOKUP(2,1/((ISNUMBER(SEARCH('Category Rules'!$B$6:$B$125,$C344)))*('Category Rules'!$B$6:$B$125&lt;&gt;"")),'Category Rules'!$C$6:$C$125),"Uncategorized"))</f>
        <v/>
      </c>
      <c r="F344" s="108" t="n"/>
      <c r="G344" s="106">
        <f>IF($C344="","",IF($F344&lt;&gt;"",$F344,$E344))</f>
        <v/>
      </c>
      <c r="H344" s="82">
        <f>IF($B344="","",TEXT($B344,"mmm yyyy"))</f>
        <v/>
      </c>
    </row>
    <row r="345" ht="18" customHeight="1">
      <c r="A345" s="14" t="n"/>
      <c r="B345" s="98" t="inlineStr">
        <is>
          <t>2026-03-05</t>
        </is>
      </c>
      <c r="C345" s="99" t="inlineStr">
        <is>
          <t>MAPCO 5112 140 US HIGHW</t>
        </is>
      </c>
      <c r="D345" s="100" t="n">
        <v>3.23</v>
      </c>
      <c r="E345" s="101">
        <f>IF($C345="","",IFERROR(LOOKUP(2,1/((ISNUMBER(SEARCH('Category Rules'!$B$6:$B$125,$C345)))*('Category Rules'!$B$6:$B$125&lt;&gt;"")),'Category Rules'!$C$6:$C$125),"Uncategorized"))</f>
        <v/>
      </c>
      <c r="F345" s="108" t="n"/>
      <c r="G345" s="103">
        <f>IF($C345="","",IF($F345&lt;&gt;"",$F345,$E345))</f>
        <v/>
      </c>
      <c r="H345" s="85">
        <f>IF($B345="","",TEXT($B345,"mmm yyyy"))</f>
        <v/>
      </c>
    </row>
    <row r="346" ht="18" customHeight="1">
      <c r="A346" s="10" t="n"/>
      <c r="B346" s="98" t="inlineStr">
        <is>
          <t>2026-03-06</t>
        </is>
      </c>
      <c r="C346" s="99" t="inlineStr">
        <is>
          <t>LAKE WEDOWEE</t>
        </is>
      </c>
      <c r="D346" s="100" t="n">
        <v>68.01000000000001</v>
      </c>
      <c r="E346" s="104">
        <f>IF($C346="","",IFERROR(LOOKUP(2,1/((ISNUMBER(SEARCH('Category Rules'!$B$6:$B$125,$C346)))*('Category Rules'!$B$6:$B$125&lt;&gt;"")),'Category Rules'!$C$6:$C$125),"Uncategorized"))</f>
        <v/>
      </c>
      <c r="F346" s="108" t="n"/>
      <c r="G346" s="106">
        <f>IF($C346="","",IF($F346&lt;&gt;"",$F346,$E346))</f>
        <v/>
      </c>
      <c r="H346" s="82">
        <f>IF($B346="","",TEXT($B346,"mmm yyyy"))</f>
        <v/>
      </c>
    </row>
    <row r="347" ht="18" customHeight="1">
      <c r="A347" s="14" t="n"/>
      <c r="B347" s="98" t="inlineStr">
        <is>
          <t>2026-03-06</t>
        </is>
      </c>
      <c r="C347" s="99" t="inlineStr">
        <is>
          <t>PIGGLY WIGGLY #</t>
        </is>
      </c>
      <c r="D347" s="100" t="n">
        <v>1.96</v>
      </c>
      <c r="E347" s="101">
        <f>IF($C347="","",IFERROR(LOOKUP(2,1/((ISNUMBER(SEARCH('Category Rules'!$B$6:$B$125,$C347)))*('Category Rules'!$B$6:$B$125&lt;&gt;"")),'Category Rules'!$C$6:$C$125),"Uncategorized"))</f>
        <v/>
      </c>
      <c r="F347" s="108" t="n"/>
      <c r="G347" s="103">
        <f>IF($C347="","",IF($F347&lt;&gt;"",$F347,$E347))</f>
        <v/>
      </c>
      <c r="H347" s="85">
        <f>IF($B347="","",TEXT($B347,"mmm yyyy"))</f>
        <v/>
      </c>
    </row>
    <row r="348" ht="18" customHeight="1">
      <c r="A348" s="10" t="n"/>
      <c r="B348" s="98" t="inlineStr">
        <is>
          <t>2026-03-06</t>
        </is>
      </c>
      <c r="C348" s="99" t="inlineStr">
        <is>
          <t>PIGGLY WIGGLY #</t>
        </is>
      </c>
      <c r="D348" s="100" t="n">
        <v>1.38</v>
      </c>
      <c r="E348" s="104">
        <f>IF($C348="","",IFERROR(LOOKUP(2,1/((ISNUMBER(SEARCH('Category Rules'!$B$6:$B$125,$C348)))*('Category Rules'!$B$6:$B$125&lt;&gt;"")),'Category Rules'!$C$6:$C$125),"Uncategorized"))</f>
        <v/>
      </c>
      <c r="F348" s="108" t="n"/>
      <c r="G348" s="106">
        <f>IF($C348="","",IF($F348&lt;&gt;"",$F348,$E348))</f>
        <v/>
      </c>
      <c r="H348" s="82">
        <f>IF($B348="","",TEXT($B348,"mmm yyyy"))</f>
        <v/>
      </c>
    </row>
    <row r="349" ht="18" customHeight="1">
      <c r="A349" s="14" t="n"/>
      <c r="B349" s="98" t="inlineStr">
        <is>
          <t>2026-03-06</t>
        </is>
      </c>
      <c r="C349" s="99" t="inlineStr">
        <is>
          <t>W M GROCERY</t>
        </is>
      </c>
      <c r="D349" s="100" t="n">
        <v>3.2</v>
      </c>
      <c r="E349" s="101">
        <f>IF($C349="","",IFERROR(LOOKUP(2,1/((ISNUMBER(SEARCH('Category Rules'!$B$6:$B$125,$C349)))*('Category Rules'!$B$6:$B$125&lt;&gt;"")),'Category Rules'!$C$6:$C$125),"Uncategorized"))</f>
        <v/>
      </c>
      <c r="F349" s="108" t="n"/>
      <c r="G349" s="103">
        <f>IF($C349="","",IF($F349&lt;&gt;"",$F349,$E349))</f>
        <v/>
      </c>
      <c r="H349" s="85">
        <f>IF($B349="","",TEXT($B349,"mmm yyyy"))</f>
        <v/>
      </c>
    </row>
    <row r="350" ht="18" customHeight="1">
      <c r="A350" s="10" t="n"/>
      <c r="B350" s="98" t="inlineStr">
        <is>
          <t>2026-03-06</t>
        </is>
      </c>
      <c r="C350" s="99" t="inlineStr">
        <is>
          <t>AMC 4101 SUMMIT 16</t>
        </is>
      </c>
      <c r="D350" s="100" t="n">
        <v>31.88</v>
      </c>
      <c r="E350" s="104">
        <f>IF($C350="","",IFERROR(LOOKUP(2,1/((ISNUMBER(SEARCH('Category Rules'!$B$6:$B$125,$C350)))*('Category Rules'!$B$6:$B$125&lt;&gt;"")),'Category Rules'!$C$6:$C$125),"Uncategorized"))</f>
        <v/>
      </c>
      <c r="F350" s="108" t="n"/>
      <c r="G350" s="106">
        <f>IF($C350="","",IF($F350&lt;&gt;"",$F350,$E350))</f>
        <v/>
      </c>
      <c r="H350" s="82">
        <f>IF($B350="","",TEXT($B350,"mmm yyyy"))</f>
        <v/>
      </c>
    </row>
    <row r="351" ht="18" customHeight="1">
      <c r="A351" s="14" t="n"/>
      <c r="B351" s="98" t="inlineStr">
        <is>
          <t>2026-03-06</t>
        </is>
      </c>
      <c r="C351" s="99" t="inlineStr">
        <is>
          <t>AMC 4101 SUMMIT 16</t>
        </is>
      </c>
      <c r="D351" s="100" t="n">
        <v>26.26</v>
      </c>
      <c r="E351" s="101">
        <f>IF($C351="","",IFERROR(LOOKUP(2,1/((ISNUMBER(SEARCH('Category Rules'!$B$6:$B$125,$C351)))*('Category Rules'!$B$6:$B$125&lt;&gt;"")),'Category Rules'!$C$6:$C$125),"Uncategorized"))</f>
        <v/>
      </c>
      <c r="F351" s="108" t="n"/>
      <c r="G351" s="103">
        <f>IF($C351="","",IF($F351&lt;&gt;"",$F351,$E351))</f>
        <v/>
      </c>
      <c r="H351" s="85">
        <f>IF($B351="","",TEXT($B351,"mmm yyyy"))</f>
        <v/>
      </c>
    </row>
    <row r="352" ht="18" customHeight="1">
      <c r="A352" s="10" t="n"/>
      <c r="B352" s="98" t="inlineStr">
        <is>
          <t>2026-03-06</t>
        </is>
      </c>
      <c r="C352" s="99" t="inlineStr">
        <is>
          <t>ORACL*Waffle House 115</t>
        </is>
      </c>
      <c r="D352" s="100" t="n">
        <v>20.75</v>
      </c>
      <c r="E352" s="104">
        <f>IF($C352="","",IFERROR(LOOKUP(2,1/((ISNUMBER(SEARCH('Category Rules'!$B$6:$B$125,$C352)))*('Category Rules'!$B$6:$B$125&lt;&gt;"")),'Category Rules'!$C$6:$C$125),"Uncategorized"))</f>
        <v/>
      </c>
      <c r="F352" s="108" t="n"/>
      <c r="G352" s="106">
        <f>IF($C352="","",IF($F352&lt;&gt;"",$F352,$E352))</f>
        <v/>
      </c>
      <c r="H352" s="82">
        <f>IF($B352="","",TEXT($B352,"mmm yyyy"))</f>
        <v/>
      </c>
    </row>
    <row r="353" ht="18" customHeight="1">
      <c r="A353" s="14" t="n"/>
      <c r="B353" s="98" t="inlineStr">
        <is>
          <t>2026-03-06</t>
        </is>
      </c>
      <c r="C353" s="99" t="inlineStr">
        <is>
          <t>AMEX EPAYMENT</t>
        </is>
      </c>
      <c r="D353" s="100" t="n">
        <v>3.2</v>
      </c>
      <c r="E353" s="101">
        <f>IF($C353="","",IFERROR(LOOKUP(2,1/((ISNUMBER(SEARCH('Category Rules'!$B$6:$B$125,$C353)))*('Category Rules'!$B$6:$B$125&lt;&gt;"")),'Category Rules'!$C$6:$C$125),"Uncategorized"))</f>
        <v/>
      </c>
      <c r="F353" s="108" t="n"/>
      <c r="G353" s="103">
        <f>IF($C353="","",IF($F353&lt;&gt;"",$F353,$E353))</f>
        <v/>
      </c>
      <c r="H353" s="85">
        <f>IF($B353="","",TEXT($B353,"mmm yyyy"))</f>
        <v/>
      </c>
    </row>
    <row r="354" ht="18" customHeight="1">
      <c r="A354" s="10" t="n"/>
      <c r="B354" s="98" t="inlineStr">
        <is>
          <t>2026-03-07</t>
        </is>
      </c>
      <c r="C354" s="99" t="inlineStr">
        <is>
          <t>MARATHON 235473</t>
        </is>
      </c>
      <c r="D354" s="100" t="n">
        <v>36.84</v>
      </c>
      <c r="E354" s="104">
        <f>IF($C354="","",IFERROR(LOOKUP(2,1/((ISNUMBER(SEARCH('Category Rules'!$B$6:$B$125,$C354)))*('Category Rules'!$B$6:$B$125&lt;&gt;"")),'Category Rules'!$C$6:$C$125),"Uncategorized"))</f>
        <v/>
      </c>
      <c r="F354" s="108" t="n"/>
      <c r="G354" s="106">
        <f>IF($C354="","",IF($F354&lt;&gt;"",$F354,$E354))</f>
        <v/>
      </c>
      <c r="H354" s="82">
        <f>IF($B354="","",TEXT($B354,"mmm yyyy"))</f>
        <v/>
      </c>
    </row>
    <row r="355" ht="18" customHeight="1">
      <c r="A355" s="14" t="n"/>
      <c r="B355" s="98" t="inlineStr">
        <is>
          <t>2026-03-07</t>
        </is>
      </c>
      <c r="C355" s="99" t="inlineStr">
        <is>
          <t>TRACTOR SUPPLY # 5500 M</t>
        </is>
      </c>
      <c r="D355" s="100" t="n">
        <v>10.99</v>
      </c>
      <c r="E355" s="101">
        <f>IF($C355="","",IFERROR(LOOKUP(2,1/((ISNUMBER(SEARCH('Category Rules'!$B$6:$B$125,$C355)))*('Category Rules'!$B$6:$B$125&lt;&gt;"")),'Category Rules'!$C$6:$C$125),"Uncategorized"))</f>
        <v/>
      </c>
      <c r="F355" s="108" t="n"/>
      <c r="G355" s="103">
        <f>IF($C355="","",IF($F355&lt;&gt;"",$F355,$E355))</f>
        <v/>
      </c>
      <c r="H355" s="85">
        <f>IF($B355="","",TEXT($B355,"mmm yyyy"))</f>
        <v/>
      </c>
    </row>
    <row r="356" ht="18" customHeight="1">
      <c r="A356" s="10" t="n"/>
      <c r="B356" s="98" t="inlineStr">
        <is>
          <t>2026-03-07</t>
        </is>
      </c>
      <c r="C356" s="99" t="inlineStr">
        <is>
          <t>Harbor Freight Tools U</t>
        </is>
      </c>
      <c r="D356" s="100" t="n">
        <v>39.12</v>
      </c>
      <c r="E356" s="104">
        <f>IF($C356="","",IFERROR(LOOKUP(2,1/((ISNUMBER(SEARCH('Category Rules'!$B$6:$B$125,$C356)))*('Category Rules'!$B$6:$B$125&lt;&gt;"")),'Category Rules'!$C$6:$C$125),"Uncategorized"))</f>
        <v/>
      </c>
      <c r="F356" s="108" t="n"/>
      <c r="G356" s="106">
        <f>IF($C356="","",IF($F356&lt;&gt;"",$F356,$E356))</f>
        <v/>
      </c>
      <c r="H356" s="82">
        <f>IF($B356="","",TEXT($B356,"mmm yyyy"))</f>
        <v/>
      </c>
    </row>
    <row r="357" ht="18" customHeight="1">
      <c r="A357" s="14" t="n"/>
      <c r="B357" s="98" t="inlineStr">
        <is>
          <t>2026-03-07</t>
        </is>
      </c>
      <c r="C357" s="99" t="inlineStr">
        <is>
          <t>W. M. GROCERY</t>
        </is>
      </c>
      <c r="D357" s="100" t="n">
        <v>7.55</v>
      </c>
      <c r="E357" s="101">
        <f>IF($C357="","",IFERROR(LOOKUP(2,1/((ISNUMBER(SEARCH('Category Rules'!$B$6:$B$125,$C357)))*('Category Rules'!$B$6:$B$125&lt;&gt;"")),'Category Rules'!$C$6:$C$125),"Uncategorized"))</f>
        <v/>
      </c>
      <c r="F357" s="108" t="n"/>
      <c r="G357" s="103">
        <f>IF($C357="","",IF($F357&lt;&gt;"",$F357,$E357))</f>
        <v/>
      </c>
      <c r="H357" s="85">
        <f>IF($B357="","",TEXT($B357,"mmm yyyy"))</f>
        <v/>
      </c>
    </row>
    <row r="358" ht="18" customHeight="1">
      <c r="A358" s="10" t="n"/>
      <c r="B358" s="98" t="inlineStr">
        <is>
          <t>2026-03-07</t>
        </is>
      </c>
      <c r="C358" s="99" t="inlineStr">
        <is>
          <t>W. M. GROCERY</t>
        </is>
      </c>
      <c r="D358" s="100" t="n">
        <v>1.39</v>
      </c>
      <c r="E358" s="104">
        <f>IF($C358="","",IFERROR(LOOKUP(2,1/((ISNUMBER(SEARCH('Category Rules'!$B$6:$B$125,$C358)))*('Category Rules'!$B$6:$B$125&lt;&gt;"")),'Category Rules'!$C$6:$C$125),"Uncategorized"))</f>
        <v/>
      </c>
      <c r="F358" s="108" t="n"/>
      <c r="G358" s="106">
        <f>IF($C358="","",IF($F358&lt;&gt;"",$F358,$E358))</f>
        <v/>
      </c>
      <c r="H358" s="82">
        <f>IF($B358="","",TEXT($B358,"mmm yyyy"))</f>
        <v/>
      </c>
    </row>
    <row r="359" ht="18" customHeight="1">
      <c r="A359" s="14" t="n"/>
      <c r="B359" s="98" t="inlineStr">
        <is>
          <t>2026-03-07</t>
        </is>
      </c>
      <c r="C359" s="99" t="inlineStr">
        <is>
          <t>PARTNER'S ENTERPRISES</t>
        </is>
      </c>
      <c r="D359" s="100" t="n">
        <v>4.72</v>
      </c>
      <c r="E359" s="101">
        <f>IF($C359="","",IFERROR(LOOKUP(2,1/((ISNUMBER(SEARCH('Category Rules'!$B$6:$B$125,$C359)))*('Category Rules'!$B$6:$B$125&lt;&gt;"")),'Category Rules'!$C$6:$C$125),"Uncategorized"))</f>
        <v/>
      </c>
      <c r="F359" s="108" t="n"/>
      <c r="G359" s="103">
        <f>IF($C359="","",IF($F359&lt;&gt;"",$F359,$E359))</f>
        <v/>
      </c>
      <c r="H359" s="85">
        <f>IF($B359="","",TEXT($B359,"mmm yyyy"))</f>
        <v/>
      </c>
    </row>
    <row r="360" ht="18" customHeight="1">
      <c r="A360" s="10" t="n"/>
      <c r="B360" s="98" t="inlineStr">
        <is>
          <t>2026-03-07</t>
        </is>
      </c>
      <c r="C360" s="99" t="inlineStr">
        <is>
          <t>PARTNER'S ENTERPRISES</t>
        </is>
      </c>
      <c r="D360" s="100" t="n">
        <v>17.52</v>
      </c>
      <c r="E360" s="104">
        <f>IF($C360="","",IFERROR(LOOKUP(2,1/((ISNUMBER(SEARCH('Category Rules'!$B$6:$B$125,$C360)))*('Category Rules'!$B$6:$B$125&lt;&gt;"")),'Category Rules'!$C$6:$C$125),"Uncategorized"))</f>
        <v/>
      </c>
      <c r="F360" s="108" t="n"/>
      <c r="G360" s="106">
        <f>IF($C360="","",IF($F360&lt;&gt;"",$F360,$E360))</f>
        <v/>
      </c>
      <c r="H360" s="82">
        <f>IF($B360="","",TEXT($B360,"mmm yyyy"))</f>
        <v/>
      </c>
    </row>
    <row r="361" ht="18" customHeight="1">
      <c r="A361" s="14" t="n"/>
      <c r="B361" s="98" t="inlineStr">
        <is>
          <t>2026-03-07</t>
        </is>
      </c>
      <c r="C361" s="99" t="inlineStr">
        <is>
          <t>TST* BROTHERS BAR - NE</t>
        </is>
      </c>
      <c r="D361" s="100" t="n">
        <v>3.3</v>
      </c>
      <c r="E361" s="101">
        <f>IF($C361="","",IFERROR(LOOKUP(2,1/((ISNUMBER(SEARCH('Category Rules'!$B$6:$B$125,$C361)))*('Category Rules'!$B$6:$B$125&lt;&gt;"")),'Category Rules'!$C$6:$C$125),"Uncategorized"))</f>
        <v/>
      </c>
      <c r="F361" s="108" t="n"/>
      <c r="G361" s="103">
        <f>IF($C361="","",IF($F361&lt;&gt;"",$F361,$E361))</f>
        <v/>
      </c>
      <c r="H361" s="85">
        <f>IF($B361="","",TEXT($B361,"mmm yyyy"))</f>
        <v/>
      </c>
    </row>
    <row r="362" ht="18" customHeight="1">
      <c r="A362" s="10" t="n"/>
      <c r="B362" s="98" t="inlineStr">
        <is>
          <t>2026-03-07</t>
        </is>
      </c>
      <c r="C362" s="99" t="inlineStr">
        <is>
          <t>JEFFERSONS JACKSONVILL</t>
        </is>
      </c>
      <c r="D362" s="100" t="n">
        <v>30.48</v>
      </c>
      <c r="E362" s="104">
        <f>IF($C362="","",IFERROR(LOOKUP(2,1/((ISNUMBER(SEARCH('Category Rules'!$B$6:$B$125,$C362)))*('Category Rules'!$B$6:$B$125&lt;&gt;"")),'Category Rules'!$C$6:$C$125),"Uncategorized"))</f>
        <v/>
      </c>
      <c r="F362" s="108" t="n"/>
      <c r="G362" s="106">
        <f>IF($C362="","",IF($F362&lt;&gt;"",$F362,$E362))</f>
        <v/>
      </c>
      <c r="H362" s="82">
        <f>IF($B362="","",TEXT($B362,"mmm yyyy"))</f>
        <v/>
      </c>
    </row>
    <row r="363" ht="18" customHeight="1">
      <c r="A363" s="14" t="n"/>
      <c r="B363" s="98" t="inlineStr">
        <is>
          <t>2026-03-07</t>
        </is>
      </c>
      <c r="C363" s="99" t="inlineStr">
        <is>
          <t>MCDONALD'S F6920</t>
        </is>
      </c>
      <c r="D363" s="100" t="n">
        <v>10.54</v>
      </c>
      <c r="E363" s="101">
        <f>IF($C363="","",IFERROR(LOOKUP(2,1/((ISNUMBER(SEARCH('Category Rules'!$B$6:$B$125,$C363)))*('Category Rules'!$B$6:$B$125&lt;&gt;"")),'Category Rules'!$C$6:$C$125),"Uncategorized"))</f>
        <v/>
      </c>
      <c r="F363" s="108" t="n"/>
      <c r="G363" s="103">
        <f>IF($C363="","",IF($F363&lt;&gt;"",$F363,$E363))</f>
        <v/>
      </c>
      <c r="H363" s="85">
        <f>IF($B363="","",TEXT($B363,"mmm yyyy"))</f>
        <v/>
      </c>
    </row>
    <row r="364" ht="18" customHeight="1">
      <c r="A364" s="10" t="n"/>
      <c r="B364" s="98" t="inlineStr">
        <is>
          <t>2026-03-07</t>
        </is>
      </c>
      <c r="C364" s="99" t="inlineStr">
        <is>
          <t>TST*BLUS BAR</t>
        </is>
      </c>
      <c r="D364" s="100" t="n">
        <v>3.77</v>
      </c>
      <c r="E364" s="104">
        <f>IF($C364="","",IFERROR(LOOKUP(2,1/((ISNUMBER(SEARCH('Category Rules'!$B$6:$B$125,$C364)))*('Category Rules'!$B$6:$B$125&lt;&gt;"")),'Category Rules'!$C$6:$C$125),"Uncategorized"))</f>
        <v/>
      </c>
      <c r="F364" s="108" t="n"/>
      <c r="G364" s="106">
        <f>IF($C364="","",IF($F364&lt;&gt;"",$F364,$E364))</f>
        <v/>
      </c>
      <c r="H364" s="82">
        <f>IF($B364="","",TEXT($B364,"mmm yyyy"))</f>
        <v/>
      </c>
    </row>
    <row r="365" ht="18" customHeight="1">
      <c r="A365" s="14" t="n"/>
      <c r="B365" s="98" t="inlineStr">
        <is>
          <t>2026-03-07</t>
        </is>
      </c>
      <c r="C365" s="99" t="inlineStr">
        <is>
          <t>TST* ROCK N ROOSTER SA</t>
        </is>
      </c>
      <c r="D365" s="100" t="n">
        <v>34.25</v>
      </c>
      <c r="E365" s="101">
        <f>IF($C365="","",IFERROR(LOOKUP(2,1/((ISNUMBER(SEARCH('Category Rules'!$B$6:$B$125,$C365)))*('Category Rules'!$B$6:$B$125&lt;&gt;"")),'Category Rules'!$C$6:$C$125),"Uncategorized"))</f>
        <v/>
      </c>
      <c r="F365" s="108" t="n"/>
      <c r="G365" s="103">
        <f>IF($C365="","",IF($F365&lt;&gt;"",$F365,$E365))</f>
        <v/>
      </c>
      <c r="H365" s="85">
        <f>IF($B365="","",TEXT($B365,"mmm yyyy"))</f>
        <v/>
      </c>
    </row>
    <row r="366" ht="18" customHeight="1">
      <c r="A366" s="10" t="n"/>
      <c r="B366" s="98" t="inlineStr">
        <is>
          <t>2026-03-08</t>
        </is>
      </c>
      <c r="C366" s="99" t="inlineStr">
        <is>
          <t>SUBWAY 27228</t>
        </is>
      </c>
      <c r="D366" s="100" t="n">
        <v>15.72</v>
      </c>
      <c r="E366" s="104">
        <f>IF($C366="","",IFERROR(LOOKUP(2,1/((ISNUMBER(SEARCH('Category Rules'!$B$6:$B$125,$C366)))*('Category Rules'!$B$6:$B$125&lt;&gt;"")),'Category Rules'!$C$6:$C$125),"Uncategorized"))</f>
        <v/>
      </c>
      <c r="F366" s="108" t="n"/>
      <c r="G366" s="106">
        <f>IF($C366="","",IF($F366&lt;&gt;"",$F366,$E366))</f>
        <v/>
      </c>
      <c r="H366" s="82">
        <f>IF($B366="","",TEXT($B366,"mmm yyyy"))</f>
        <v/>
      </c>
    </row>
    <row r="367" ht="18" customHeight="1">
      <c r="A367" s="14" t="n"/>
      <c r="B367" s="98" t="inlineStr">
        <is>
          <t>2026-03-08</t>
        </is>
      </c>
      <c r="C367" s="99" t="inlineStr">
        <is>
          <t>PIC'N SAVE #248</t>
        </is>
      </c>
      <c r="D367" s="100" t="n">
        <v>9.18</v>
      </c>
      <c r="E367" s="101">
        <f>IF($C367="","",IFERROR(LOOKUP(2,1/((ISNUMBER(SEARCH('Category Rules'!$B$6:$B$125,$C367)))*('Category Rules'!$B$6:$B$125&lt;&gt;"")),'Category Rules'!$C$6:$C$125),"Uncategorized"))</f>
        <v/>
      </c>
      <c r="F367" s="108" t="n"/>
      <c r="G367" s="103">
        <f>IF($C367="","",IF($F367&lt;&gt;"",$F367,$E367))</f>
        <v/>
      </c>
      <c r="H367" s="85">
        <f>IF($B367="","",TEXT($B367,"mmm yyyy"))</f>
        <v/>
      </c>
    </row>
    <row r="368" ht="18" customHeight="1">
      <c r="A368" s="10" t="n"/>
      <c r="B368" s="98" t="inlineStr">
        <is>
          <t>2026-03-09</t>
        </is>
      </c>
      <c r="C368" s="99" t="inlineStr">
        <is>
          <t>DORSEY'S SUPERM</t>
        </is>
      </c>
      <c r="D368" s="100" t="n">
        <v>1.61</v>
      </c>
      <c r="E368" s="104">
        <f>IF($C368="","",IFERROR(LOOKUP(2,1/((ISNUMBER(SEARCH('Category Rules'!$B$6:$B$125,$C368)))*('Category Rules'!$B$6:$B$125&lt;&gt;"")),'Category Rules'!$C$6:$C$125),"Uncategorized"))</f>
        <v/>
      </c>
      <c r="F368" s="108" t="n"/>
      <c r="G368" s="106">
        <f>IF($C368="","",IF($F368&lt;&gt;"",$F368,$E368))</f>
        <v/>
      </c>
      <c r="H368" s="82">
        <f>IF($B368="","",TEXT($B368,"mmm yyyy"))</f>
        <v/>
      </c>
    </row>
    <row r="369" ht="18" customHeight="1">
      <c r="A369" s="14" t="n"/>
      <c r="B369" s="98" t="inlineStr">
        <is>
          <t>2026-03-09</t>
        </is>
      </c>
      <c r="C369" s="99" t="inlineStr">
        <is>
          <t>PIC'N SAVE #248</t>
        </is>
      </c>
      <c r="D369" s="100" t="n">
        <v>3.09</v>
      </c>
      <c r="E369" s="101">
        <f>IF($C369="","",IFERROR(LOOKUP(2,1/((ISNUMBER(SEARCH('Category Rules'!$B$6:$B$125,$C369)))*('Category Rules'!$B$6:$B$125&lt;&gt;"")),'Category Rules'!$C$6:$C$125),"Uncategorized"))</f>
        <v/>
      </c>
      <c r="F369" s="108" t="n"/>
      <c r="G369" s="103">
        <f>IF($C369="","",IF($F369&lt;&gt;"",$F369,$E369))</f>
        <v/>
      </c>
      <c r="H369" s="85">
        <f>IF($B369="","",TEXT($B369,"mmm yyyy"))</f>
        <v/>
      </c>
    </row>
    <row r="370" ht="18" customHeight="1">
      <c r="A370" s="10" t="n"/>
      <c r="B370" s="98" t="inlineStr">
        <is>
          <t>2026-03-09</t>
        </is>
      </c>
      <c r="C370" s="99" t="inlineStr">
        <is>
          <t>VENMO *Melissa O'Brie</t>
        </is>
      </c>
      <c r="D370" s="100" t="n">
        <v>48.29</v>
      </c>
      <c r="E370" s="104">
        <f>IF($C370="","",IFERROR(LOOKUP(2,1/((ISNUMBER(SEARCH('Category Rules'!$B$6:$B$125,$C370)))*('Category Rules'!$B$6:$B$125&lt;&gt;"")),'Category Rules'!$C$6:$C$125),"Uncategorized"))</f>
        <v/>
      </c>
      <c r="F370" s="108" t="n"/>
      <c r="G370" s="106">
        <f>IF($C370="","",IF($F370&lt;&gt;"",$F370,$E370))</f>
        <v/>
      </c>
      <c r="H370" s="82">
        <f>IF($B370="","",TEXT($B370,"mmm yyyy"))</f>
        <v/>
      </c>
    </row>
    <row r="371" ht="18" customHeight="1">
      <c r="A371" s="14" t="n"/>
      <c r="B371" s="98" t="inlineStr">
        <is>
          <t>2026-03-09</t>
        </is>
      </c>
      <c r="C371" s="99" t="inlineStr">
        <is>
          <t>JACK'S #156 HEFLIN</t>
        </is>
      </c>
      <c r="D371" s="100" t="n">
        <v>9.24</v>
      </c>
      <c r="E371" s="101">
        <f>IF($C371="","",IFERROR(LOOKUP(2,1/((ISNUMBER(SEARCH('Category Rules'!$B$6:$B$125,$C371)))*('Category Rules'!$B$6:$B$125&lt;&gt;"")),'Category Rules'!$C$6:$C$125),"Uncategorized"))</f>
        <v/>
      </c>
      <c r="F371" s="108" t="n"/>
      <c r="G371" s="103">
        <f>IF($C371="","",IF($F371&lt;&gt;"",$F371,$E371))</f>
        <v/>
      </c>
      <c r="H371" s="85">
        <f>IF($B371="","",TEXT($B371,"mmm yyyy"))</f>
        <v/>
      </c>
    </row>
    <row r="372" ht="18" customHeight="1">
      <c r="A372" s="10" t="n"/>
      <c r="B372" s="98" t="inlineStr">
        <is>
          <t>2026-03-10</t>
        </is>
      </c>
      <c r="C372" s="99" t="inlineStr">
        <is>
          <t>WM SUPERCENTER #300</t>
        </is>
      </c>
      <c r="D372" s="100" t="n">
        <v>53.8</v>
      </c>
      <c r="E372" s="104">
        <f>IF($C372="","",IFERROR(LOOKUP(2,1/((ISNUMBER(SEARCH('Category Rules'!$B$6:$B$125,$C372)))*('Category Rules'!$B$6:$B$125&lt;&gt;"")),'Category Rules'!$C$6:$C$125),"Uncategorized"))</f>
        <v/>
      </c>
      <c r="F372" s="108" t="n"/>
      <c r="G372" s="106">
        <f>IF($C372="","",IF($F372&lt;&gt;"",$F372,$E372))</f>
        <v/>
      </c>
      <c r="H372" s="82">
        <f>IF($B372="","",TEXT($B372,"mmm yyyy"))</f>
        <v/>
      </c>
    </row>
    <row r="373" ht="18" customHeight="1">
      <c r="A373" s="14" t="n"/>
      <c r="B373" s="98" t="inlineStr">
        <is>
          <t>2026-03-10</t>
        </is>
      </c>
      <c r="C373" s="99" t="inlineStr">
        <is>
          <t>Harbor Freight Tools U</t>
        </is>
      </c>
      <c r="D373" s="100" t="n">
        <v>17.59</v>
      </c>
      <c r="E373" s="101">
        <f>IF($C373="","",IFERROR(LOOKUP(2,1/((ISNUMBER(SEARCH('Category Rules'!$B$6:$B$125,$C373)))*('Category Rules'!$B$6:$B$125&lt;&gt;"")),'Category Rules'!$C$6:$C$125),"Uncategorized"))</f>
        <v/>
      </c>
      <c r="F373" s="108" t="n"/>
      <c r="G373" s="103">
        <f>IF($C373="","",IF($F373&lt;&gt;"",$F373,$E373))</f>
        <v/>
      </c>
      <c r="H373" s="85">
        <f>IF($B373="","",TEXT($B373,"mmm yyyy"))</f>
        <v/>
      </c>
    </row>
    <row r="374" ht="18" customHeight="1">
      <c r="A374" s="10" t="n"/>
      <c r="B374" s="98" t="inlineStr">
        <is>
          <t>2026-03-10</t>
        </is>
      </c>
      <c r="C374" s="99" t="inlineStr">
        <is>
          <t>BREEDS FOOD MAR</t>
        </is>
      </c>
      <c r="D374" s="100" t="n">
        <v>72.62</v>
      </c>
      <c r="E374" s="104">
        <f>IF($C374="","",IFERROR(LOOKUP(2,1/((ISNUMBER(SEARCH('Category Rules'!$B$6:$B$125,$C374)))*('Category Rules'!$B$6:$B$125&lt;&gt;"")),'Category Rules'!$C$6:$C$125),"Uncategorized"))</f>
        <v/>
      </c>
      <c r="F374" s="108" t="n"/>
      <c r="G374" s="106">
        <f>IF($C374="","",IF($F374&lt;&gt;"",$F374,$E374))</f>
        <v/>
      </c>
      <c r="H374" s="82">
        <f>IF($B374="","",TEXT($B374,"mmm yyyy"))</f>
        <v/>
      </c>
    </row>
    <row r="375" ht="18" customHeight="1">
      <c r="A375" s="14" t="n"/>
      <c r="B375" s="98" t="inlineStr">
        <is>
          <t>2026-03-10</t>
        </is>
      </c>
      <c r="C375" s="99" t="inlineStr">
        <is>
          <t>PERRYLAND FOODS</t>
        </is>
      </c>
      <c r="D375" s="100" t="n">
        <v>1.77</v>
      </c>
      <c r="E375" s="101">
        <f>IF($C375="","",IFERROR(LOOKUP(2,1/((ISNUMBER(SEARCH('Category Rules'!$B$6:$B$125,$C375)))*('Category Rules'!$B$6:$B$125&lt;&gt;"")),'Category Rules'!$C$6:$C$125),"Uncategorized"))</f>
        <v/>
      </c>
      <c r="F375" s="108" t="n"/>
      <c r="G375" s="103">
        <f>IF($C375="","",IF($F375&lt;&gt;"",$F375,$E375))</f>
        <v/>
      </c>
      <c r="H375" s="85">
        <f>IF($B375="","",TEXT($B375,"mmm yyyy"))</f>
        <v/>
      </c>
    </row>
    <row r="376" ht="18" customHeight="1">
      <c r="A376" s="10" t="n"/>
      <c r="B376" s="98" t="inlineStr">
        <is>
          <t>2026-03-10</t>
        </is>
      </c>
      <c r="C376" s="99" t="inlineStr">
        <is>
          <t>WAL-MART #0809</t>
        </is>
      </c>
      <c r="D376" s="100" t="n">
        <v>17.16</v>
      </c>
      <c r="E376" s="104">
        <f>IF($C376="","",IFERROR(LOOKUP(2,1/((ISNUMBER(SEARCH('Category Rules'!$B$6:$B$125,$C376)))*('Category Rules'!$B$6:$B$125&lt;&gt;"")),'Category Rules'!$C$6:$C$125),"Uncategorized"))</f>
        <v/>
      </c>
      <c r="F376" s="108" t="n"/>
      <c r="G376" s="106">
        <f>IF($C376="","",IF($F376&lt;&gt;"",$F376,$E376))</f>
        <v/>
      </c>
      <c r="H376" s="82">
        <f>IF($B376="","",TEXT($B376,"mmm yyyy"))</f>
        <v/>
      </c>
    </row>
    <row r="377" ht="18" customHeight="1">
      <c r="A377" s="14" t="n"/>
      <c r="B377" s="98" t="inlineStr">
        <is>
          <t>2026-03-10</t>
        </is>
      </c>
      <c r="C377" s="99" t="inlineStr">
        <is>
          <t>JACK'S #156 HEFLIN</t>
        </is>
      </c>
      <c r="D377" s="100" t="n">
        <v>10.02</v>
      </c>
      <c r="E377" s="101">
        <f>IF($C377="","",IFERROR(LOOKUP(2,1/((ISNUMBER(SEARCH('Category Rules'!$B$6:$B$125,$C377)))*('Category Rules'!$B$6:$B$125&lt;&gt;"")),'Category Rules'!$C$6:$C$125),"Uncategorized"))</f>
        <v/>
      </c>
      <c r="F377" s="108" t="n"/>
      <c r="G377" s="103">
        <f>IF($C377="","",IF($F377&lt;&gt;"",$F377,$E377))</f>
        <v/>
      </c>
      <c r="H377" s="85">
        <f>IF($B377="","",TEXT($B377,"mmm yyyy"))</f>
        <v/>
      </c>
    </row>
    <row r="378" ht="18" customHeight="1">
      <c r="A378" s="10" t="n"/>
      <c r="B378" s="98" t="inlineStr">
        <is>
          <t>2026-03-10</t>
        </is>
      </c>
      <c r="C378" s="99" t="inlineStr">
        <is>
          <t>JACK'S #156 HEFLIN</t>
        </is>
      </c>
      <c r="D378" s="100" t="n">
        <v>6.52</v>
      </c>
      <c r="E378" s="104">
        <f>IF($C378="","",IFERROR(LOOKUP(2,1/((ISNUMBER(SEARCH('Category Rules'!$B$6:$B$125,$C378)))*('Category Rules'!$B$6:$B$125&lt;&gt;"")),'Category Rules'!$C$6:$C$125),"Uncategorized"))</f>
        <v/>
      </c>
      <c r="F378" s="108" t="n"/>
      <c r="G378" s="106">
        <f>IF($C378="","",IF($F378&lt;&gt;"",$F378,$E378))</f>
        <v/>
      </c>
      <c r="H378" s="82">
        <f>IF($B378="","",TEXT($B378,"mmm yyyy"))</f>
        <v/>
      </c>
    </row>
    <row r="379" ht="18" customHeight="1">
      <c r="A379" s="14" t="n"/>
      <c r="B379" s="98" t="inlineStr">
        <is>
          <t>2026-03-11</t>
        </is>
      </c>
      <c r="C379" s="99" t="inlineStr">
        <is>
          <t>Bojangles 0914</t>
        </is>
      </c>
      <c r="D379" s="100" t="n">
        <v>8.130000000000001</v>
      </c>
      <c r="E379" s="101">
        <f>IF($C379="","",IFERROR(LOOKUP(2,1/((ISNUMBER(SEARCH('Category Rules'!$B$6:$B$125,$C379)))*('Category Rules'!$B$6:$B$125&lt;&gt;"")),'Category Rules'!$C$6:$C$125),"Uncategorized"))</f>
        <v/>
      </c>
      <c r="F379" s="108" t="n"/>
      <c r="G379" s="103">
        <f>IF($C379="","",IF($F379&lt;&gt;"",$F379,$E379))</f>
        <v/>
      </c>
      <c r="H379" s="85">
        <f>IF($B379="","",TEXT($B379,"mmm yyyy"))</f>
        <v/>
      </c>
    </row>
    <row r="380" ht="18" customHeight="1">
      <c r="A380" s="10" t="n"/>
      <c r="B380" s="98" t="inlineStr">
        <is>
          <t>2026-03-11</t>
        </is>
      </c>
      <c r="C380" s="99" t="inlineStr">
        <is>
          <t>TACO BELL #7029147</t>
        </is>
      </c>
      <c r="D380" s="100" t="n">
        <v>7.14</v>
      </c>
      <c r="E380" s="104">
        <f>IF($C380="","",IFERROR(LOOKUP(2,1/((ISNUMBER(SEARCH('Category Rules'!$B$6:$B$125,$C380)))*('Category Rules'!$B$6:$B$125&lt;&gt;"")),'Category Rules'!$C$6:$C$125),"Uncategorized"))</f>
        <v/>
      </c>
      <c r="F380" s="108" t="n"/>
      <c r="G380" s="106">
        <f>IF($C380="","",IF($F380&lt;&gt;"",$F380,$E380))</f>
        <v/>
      </c>
      <c r="H380" s="82">
        <f>IF($B380="","",TEXT($B380,"mmm yyyy"))</f>
        <v/>
      </c>
    </row>
    <row r="381" ht="18" customHeight="1">
      <c r="A381" s="14" t="n"/>
      <c r="B381" s="98" t="inlineStr">
        <is>
          <t>2026-03-12</t>
        </is>
      </c>
      <c r="C381" s="99" t="inlineStr">
        <is>
          <t>DOLLAR GENERAL # DG 304</t>
        </is>
      </c>
      <c r="D381" s="100" t="n">
        <v>11.99</v>
      </c>
      <c r="E381" s="101">
        <f>IF($C381="","",IFERROR(LOOKUP(2,1/((ISNUMBER(SEARCH('Category Rules'!$B$6:$B$125,$C381)))*('Category Rules'!$B$6:$B$125&lt;&gt;"")),'Category Rules'!$C$6:$C$125),"Uncategorized"))</f>
        <v/>
      </c>
      <c r="F381" s="108" t="n"/>
      <c r="G381" s="103">
        <f>IF($C381="","",IF($F381&lt;&gt;"",$F381,$E381))</f>
        <v/>
      </c>
      <c r="H381" s="85">
        <f>IF($B381="","",TEXT($B381,"mmm yyyy"))</f>
        <v/>
      </c>
    </row>
    <row r="382" ht="18" customHeight="1">
      <c r="A382" s="10" t="n"/>
      <c r="B382" s="98" t="inlineStr">
        <is>
          <t>2026-03-12</t>
        </is>
      </c>
      <c r="C382" s="99" t="inlineStr">
        <is>
          <t>SITE356853- CHE</t>
        </is>
      </c>
      <c r="D382" s="100" t="n">
        <v>2.91</v>
      </c>
      <c r="E382" s="104">
        <f>IF($C382="","",IFERROR(LOOKUP(2,1/((ISNUMBER(SEARCH('Category Rules'!$B$6:$B$125,$C382)))*('Category Rules'!$B$6:$B$125&lt;&gt;"")),'Category Rules'!$C$6:$C$125),"Uncategorized"))</f>
        <v/>
      </c>
      <c r="F382" s="108" t="n"/>
      <c r="G382" s="106">
        <f>IF($C382="","",IF($F382&lt;&gt;"",$F382,$E382))</f>
        <v/>
      </c>
      <c r="H382" s="82">
        <f>IF($B382="","",TEXT($B382,"mmm yyyy"))</f>
        <v/>
      </c>
    </row>
    <row r="383" ht="18" customHeight="1">
      <c r="A383" s="14" t="n"/>
      <c r="B383" s="98" t="inlineStr">
        <is>
          <t>2026-03-12</t>
        </is>
      </c>
      <c r="C383" s="99" t="inlineStr">
        <is>
          <t>Bojangles 0914</t>
        </is>
      </c>
      <c r="D383" s="100" t="n">
        <v>8.130000000000001</v>
      </c>
      <c r="E383" s="101">
        <f>IF($C383="","",IFERROR(LOOKUP(2,1/((ISNUMBER(SEARCH('Category Rules'!$B$6:$B$125,$C383)))*('Category Rules'!$B$6:$B$125&lt;&gt;"")),'Category Rules'!$C$6:$C$125),"Uncategorized"))</f>
        <v/>
      </c>
      <c r="F383" s="108" t="n"/>
      <c r="G383" s="103">
        <f>IF($C383="","",IF($F383&lt;&gt;"",$F383,$E383))</f>
        <v/>
      </c>
      <c r="H383" s="85">
        <f>IF($B383="","",TEXT($B383,"mmm yyyy"))</f>
        <v/>
      </c>
    </row>
    <row r="384" ht="18" customHeight="1">
      <c r="A384" s="10" t="n"/>
      <c r="B384" s="98" t="inlineStr">
        <is>
          <t>2026-03-12</t>
        </is>
      </c>
      <c r="C384" s="99" t="inlineStr">
        <is>
          <t>JACK'S #153 OXFORD</t>
        </is>
      </c>
      <c r="D384" s="100" t="n">
        <v>10.99</v>
      </c>
      <c r="E384" s="104">
        <f>IF($C384="","",IFERROR(LOOKUP(2,1/((ISNUMBER(SEARCH('Category Rules'!$B$6:$B$125,$C384)))*('Category Rules'!$B$6:$B$125&lt;&gt;"")),'Category Rules'!$C$6:$C$125),"Uncategorized"))</f>
        <v/>
      </c>
      <c r="F384" s="108" t="n"/>
      <c r="G384" s="106">
        <f>IF($C384="","",IF($F384&lt;&gt;"",$F384,$E384))</f>
        <v/>
      </c>
      <c r="H384" s="82">
        <f>IF($B384="","",TEXT($B384,"mmm yyyy"))</f>
        <v/>
      </c>
    </row>
    <row r="385" ht="18" customHeight="1">
      <c r="A385" s="14" t="n"/>
      <c r="B385" s="98" t="inlineStr">
        <is>
          <t>2026-03-12</t>
        </is>
      </c>
      <c r="C385" s="99" t="inlineStr">
        <is>
          <t>Alabama Power</t>
        </is>
      </c>
      <c r="D385" s="100" t="n">
        <v>388.23</v>
      </c>
      <c r="E385" s="101">
        <f>IF($C385="","",IFERROR(LOOKUP(2,1/((ISNUMBER(SEARCH('Category Rules'!$B$6:$B$125,$C385)))*('Category Rules'!$B$6:$B$125&lt;&gt;"")),'Category Rules'!$C$6:$C$125),"Uncategorized"))</f>
        <v/>
      </c>
      <c r="F385" s="108" t="n"/>
      <c r="G385" s="103">
        <f>IF($C385="","",IF($F385&lt;&gt;"",$F385,$E385))</f>
        <v/>
      </c>
      <c r="H385" s="85">
        <f>IF($B385="","",TEXT($B385,"mmm yyyy"))</f>
        <v/>
      </c>
    </row>
    <row r="386" ht="18" customHeight="1">
      <c r="A386" s="10" t="n"/>
      <c r="B386" s="98" t="inlineStr">
        <is>
          <t>2026-03-13</t>
        </is>
      </c>
      <c r="C386" s="99" t="inlineStr">
        <is>
          <t>W M GROCERY</t>
        </is>
      </c>
      <c r="D386" s="100" t="n">
        <v>1.38</v>
      </c>
      <c r="E386" s="104">
        <f>IF($C386="","",IFERROR(LOOKUP(2,1/((ISNUMBER(SEARCH('Category Rules'!$B$6:$B$125,$C386)))*('Category Rules'!$B$6:$B$125&lt;&gt;"")),'Category Rules'!$C$6:$C$125),"Uncategorized"))</f>
        <v/>
      </c>
      <c r="F386" s="108" t="n"/>
      <c r="G386" s="106">
        <f>IF($C386="","",IF($F386&lt;&gt;"",$F386,$E386))</f>
        <v/>
      </c>
      <c r="H386" s="82">
        <f>IF($B386="","",TEXT($B386,"mmm yyyy"))</f>
        <v/>
      </c>
    </row>
    <row r="387" ht="18" customHeight="1">
      <c r="A387" s="14" t="n"/>
      <c r="B387" s="98" t="inlineStr">
        <is>
          <t>2026-03-13</t>
        </is>
      </c>
      <c r="C387" s="99" t="inlineStr">
        <is>
          <t>JACK'S #200</t>
        </is>
      </c>
      <c r="D387" s="100" t="n">
        <v>10.99</v>
      </c>
      <c r="E387" s="101">
        <f>IF($C387="","",IFERROR(LOOKUP(2,1/((ISNUMBER(SEARCH('Category Rules'!$B$6:$B$125,$C387)))*('Category Rules'!$B$6:$B$125&lt;&gt;"")),'Category Rules'!$C$6:$C$125),"Uncategorized"))</f>
        <v/>
      </c>
      <c r="F387" s="108" t="n"/>
      <c r="G387" s="103">
        <f>IF($C387="","",IF($F387&lt;&gt;"",$F387,$E387))</f>
        <v/>
      </c>
      <c r="H387" s="85">
        <f>IF($B387="","",TEXT($B387,"mmm yyyy"))</f>
        <v/>
      </c>
    </row>
    <row r="388" ht="18" customHeight="1">
      <c r="A388" s="10" t="n"/>
      <c r="B388" s="98" t="inlineStr">
        <is>
          <t>2026-03-13</t>
        </is>
      </c>
      <c r="C388" s="99" t="inlineStr">
        <is>
          <t>TST* ROCK N ROOSTER SA</t>
        </is>
      </c>
      <c r="D388" s="100" t="n">
        <v>54</v>
      </c>
      <c r="E388" s="104">
        <f>IF($C388="","",IFERROR(LOOKUP(2,1/((ISNUMBER(SEARCH('Category Rules'!$B$6:$B$125,$C388)))*('Category Rules'!$B$6:$B$125&lt;&gt;"")),'Category Rules'!$C$6:$C$125),"Uncategorized"))</f>
        <v/>
      </c>
      <c r="F388" s="108" t="n"/>
      <c r="G388" s="106">
        <f>IF($C388="","",IF($F388&lt;&gt;"",$F388,$E388))</f>
        <v/>
      </c>
      <c r="H388" s="82">
        <f>IF($B388="","",TEXT($B388,"mmm yyyy"))</f>
        <v/>
      </c>
    </row>
    <row r="389" ht="18" customHeight="1">
      <c r="A389" s="14" t="n"/>
      <c r="B389" s="98" t="inlineStr">
        <is>
          <t>2026-03-13</t>
        </is>
      </c>
      <c r="C389" s="99" t="inlineStr">
        <is>
          <t>sparklightacp</t>
        </is>
      </c>
      <c r="D389" s="100" t="n">
        <v>24.95</v>
      </c>
      <c r="E389" s="101">
        <f>IF($C389="","",IFERROR(LOOKUP(2,1/((ISNUMBER(SEARCH('Category Rules'!$B$6:$B$125,$C389)))*('Category Rules'!$B$6:$B$125&lt;&gt;"")),'Category Rules'!$C$6:$C$125),"Uncategorized"))</f>
        <v/>
      </c>
      <c r="F389" s="108" t="n"/>
      <c r="G389" s="103">
        <f>IF($C389="","",IF($F389&lt;&gt;"",$F389,$E389))</f>
        <v/>
      </c>
      <c r="H389" s="85">
        <f>IF($B389="","",TEXT($B389,"mmm yyyy"))</f>
        <v/>
      </c>
    </row>
    <row r="390" ht="18" customHeight="1">
      <c r="A390" s="10" t="n"/>
      <c r="B390" s="98" t="inlineStr">
        <is>
          <t>2026-03-14</t>
        </is>
      </c>
      <c r="C390" s="99" t="inlineStr">
        <is>
          <t>MAPCO 5108 706 PELHAM R</t>
        </is>
      </c>
      <c r="D390" s="100" t="n">
        <v>78.44</v>
      </c>
      <c r="E390" s="104">
        <f>IF($C390="","",IFERROR(LOOKUP(2,1/((ISNUMBER(SEARCH('Category Rules'!$B$6:$B$125,$C390)))*('Category Rules'!$B$6:$B$125&lt;&gt;"")),'Category Rules'!$C$6:$C$125),"Uncategorized"))</f>
        <v/>
      </c>
      <c r="F390" s="108" t="n"/>
      <c r="G390" s="106">
        <f>IF($C390="","",IF($F390&lt;&gt;"",$F390,$E390))</f>
        <v/>
      </c>
      <c r="H390" s="82">
        <f>IF($B390="","",TEXT($B390,"mmm yyyy"))</f>
        <v/>
      </c>
    </row>
    <row r="391" ht="18" customHeight="1">
      <c r="A391" s="14" t="n"/>
      <c r="B391" s="98" t="inlineStr">
        <is>
          <t>2026-03-14</t>
        </is>
      </c>
      <c r="C391" s="99" t="inlineStr">
        <is>
          <t>W M GROCERY</t>
        </is>
      </c>
      <c r="D391" s="100" t="n">
        <v>6.53</v>
      </c>
      <c r="E391" s="101">
        <f>IF($C391="","",IFERROR(LOOKUP(2,1/((ISNUMBER(SEARCH('Category Rules'!$B$6:$B$125,$C391)))*('Category Rules'!$B$6:$B$125&lt;&gt;"")),'Category Rules'!$C$6:$C$125),"Uncategorized"))</f>
        <v/>
      </c>
      <c r="F391" s="108" t="n"/>
      <c r="G391" s="103">
        <f>IF($C391="","",IF($F391&lt;&gt;"",$F391,$E391))</f>
        <v/>
      </c>
      <c r="H391" s="85">
        <f>IF($B391="","",TEXT($B391,"mmm yyyy"))</f>
        <v/>
      </c>
    </row>
    <row r="392" ht="18" customHeight="1">
      <c r="A392" s="10" t="n"/>
      <c r="B392" s="98" t="inlineStr">
        <is>
          <t>2026-03-14</t>
        </is>
      </c>
      <c r="C392" s="99" t="inlineStr">
        <is>
          <t>W M GROCERY</t>
        </is>
      </c>
      <c r="D392" s="100" t="n">
        <v>3.2</v>
      </c>
      <c r="E392" s="104">
        <f>IF($C392="","",IFERROR(LOOKUP(2,1/((ISNUMBER(SEARCH('Category Rules'!$B$6:$B$125,$C392)))*('Category Rules'!$B$6:$B$125&lt;&gt;"")),'Category Rules'!$C$6:$C$125),"Uncategorized"))</f>
        <v/>
      </c>
      <c r="F392" s="108" t="n"/>
      <c r="G392" s="106">
        <f>IF($C392="","",IF($F392&lt;&gt;"",$F392,$E392))</f>
        <v/>
      </c>
      <c r="H392" s="82">
        <f>IF($B392="","",TEXT($B392,"mmm yyyy"))</f>
        <v/>
      </c>
    </row>
    <row r="393" ht="18" customHeight="1">
      <c r="A393" s="14" t="n"/>
      <c r="B393" s="98" t="inlineStr">
        <is>
          <t>2026-03-14</t>
        </is>
      </c>
      <c r="C393" s="99" t="inlineStr">
        <is>
          <t>JEFFERSONS JACKSONVILL</t>
        </is>
      </c>
      <c r="D393" s="100" t="n">
        <v>27.19</v>
      </c>
      <c r="E393" s="101">
        <f>IF($C393="","",IFERROR(LOOKUP(2,1/((ISNUMBER(SEARCH('Category Rules'!$B$6:$B$125,$C393)))*('Category Rules'!$B$6:$B$125&lt;&gt;"")),'Category Rules'!$C$6:$C$125),"Uncategorized"))</f>
        <v/>
      </c>
      <c r="F393" s="108" t="n"/>
      <c r="G393" s="103">
        <f>IF($C393="","",IF($F393&lt;&gt;"",$F393,$E393))</f>
        <v/>
      </c>
      <c r="H393" s="85">
        <f>IF($B393="","",TEXT($B393,"mmm yyyy"))</f>
        <v/>
      </c>
    </row>
    <row r="394" ht="18" customHeight="1">
      <c r="A394" s="10" t="n"/>
      <c r="B394" s="98" t="inlineStr">
        <is>
          <t>2026-03-14</t>
        </is>
      </c>
      <c r="C394" s="99" t="inlineStr">
        <is>
          <t>MCDONALD'S F6920</t>
        </is>
      </c>
      <c r="D394" s="100" t="n">
        <v>19.01</v>
      </c>
      <c r="E394" s="104">
        <f>IF($C394="","",IFERROR(LOOKUP(2,1/((ISNUMBER(SEARCH('Category Rules'!$B$6:$B$125,$C394)))*('Category Rules'!$B$6:$B$125&lt;&gt;"")),'Category Rules'!$C$6:$C$125),"Uncategorized"))</f>
        <v/>
      </c>
      <c r="F394" s="108" t="n"/>
      <c r="G394" s="106">
        <f>IF($C394="","",IF($F394&lt;&gt;"",$F394,$E394))</f>
        <v/>
      </c>
      <c r="H394" s="82">
        <f>IF($B394="","",TEXT($B394,"mmm yyyy"))</f>
        <v/>
      </c>
    </row>
    <row r="395" ht="18" customHeight="1">
      <c r="A395" s="14" t="n"/>
      <c r="B395" s="98" t="inlineStr">
        <is>
          <t>2026-03-14</t>
        </is>
      </c>
      <c r="C395" s="99" t="inlineStr">
        <is>
          <t>WHATABURGER 1492</t>
        </is>
      </c>
      <c r="D395" s="100" t="n">
        <v>16.49</v>
      </c>
      <c r="E395" s="101">
        <f>IF($C395="","",IFERROR(LOOKUP(2,1/((ISNUMBER(SEARCH('Category Rules'!$B$6:$B$125,$C395)))*('Category Rules'!$B$6:$B$125&lt;&gt;"")),'Category Rules'!$C$6:$C$125),"Uncategorized"))</f>
        <v/>
      </c>
      <c r="F395" s="108" t="n"/>
      <c r="G395" s="103">
        <f>IF($C395="","",IF($F395&lt;&gt;"",$F395,$E395))</f>
        <v/>
      </c>
      <c r="H395" s="85">
        <f>IF($B395="","",TEXT($B395,"mmm yyyy"))</f>
        <v/>
      </c>
    </row>
    <row r="396" ht="18" customHeight="1">
      <c r="A396" s="10" t="n"/>
      <c r="B396" s="98" t="inlineStr">
        <is>
          <t>2026-03-14</t>
        </is>
      </c>
      <c r="C396" s="99" t="inlineStr">
        <is>
          <t>SQ *JASMYNE TURNER</t>
        </is>
      </c>
      <c r="D396" s="100" t="n">
        <v>30</v>
      </c>
      <c r="E396" s="104">
        <f>IF($C396="","",IFERROR(LOOKUP(2,1/((ISNUMBER(SEARCH('Category Rules'!$B$6:$B$125,$C396)))*('Category Rules'!$B$6:$B$125&lt;&gt;"")),'Category Rules'!$C$6:$C$125),"Uncategorized"))</f>
        <v/>
      </c>
      <c r="F396" s="108" t="n"/>
      <c r="G396" s="106">
        <f>IF($C396="","",IF($F396&lt;&gt;"",$F396,$E396))</f>
        <v/>
      </c>
      <c r="H396" s="82">
        <f>IF($B396="","",TEXT($B396,"mmm yyyy"))</f>
        <v/>
      </c>
    </row>
    <row r="397" ht="18" customHeight="1">
      <c r="A397" s="14" t="n"/>
      <c r="B397" s="98" t="inlineStr">
        <is>
          <t>2026-03-14</t>
        </is>
      </c>
      <c r="C397" s="99" t="inlineStr">
        <is>
          <t>TST* ROCK N ROOSTER SA</t>
        </is>
      </c>
      <c r="D397" s="100" t="n">
        <v>46.41</v>
      </c>
      <c r="E397" s="101">
        <f>IF($C397="","",IFERROR(LOOKUP(2,1/((ISNUMBER(SEARCH('Category Rules'!$B$6:$B$125,$C397)))*('Category Rules'!$B$6:$B$125&lt;&gt;"")),'Category Rules'!$C$6:$C$125),"Uncategorized"))</f>
        <v/>
      </c>
      <c r="F397" s="108" t="n"/>
      <c r="G397" s="103">
        <f>IF($C397="","",IF($F397&lt;&gt;"",$F397,$E397))</f>
        <v/>
      </c>
      <c r="H397" s="85">
        <f>IF($B397="","",TEXT($B397,"mmm yyyy"))</f>
        <v/>
      </c>
    </row>
    <row r="398" ht="18" customHeight="1">
      <c r="A398" s="10" t="n"/>
      <c r="B398" s="98" t="inlineStr">
        <is>
          <t>2026-03-15</t>
        </is>
      </c>
      <c r="C398" s="99" t="inlineStr">
        <is>
          <t>WAL-MART #0300</t>
        </is>
      </c>
      <c r="D398" s="100" t="n">
        <v>6.47</v>
      </c>
      <c r="E398" s="104">
        <f>IF($C398="","",IFERROR(LOOKUP(2,1/((ISNUMBER(SEARCH('Category Rules'!$B$6:$B$125,$C398)))*('Category Rules'!$B$6:$B$125&lt;&gt;"")),'Category Rules'!$C$6:$C$125),"Uncategorized"))</f>
        <v/>
      </c>
      <c r="F398" s="108" t="n"/>
      <c r="G398" s="106">
        <f>IF($C398="","",IF($F398&lt;&gt;"",$F398,$E398))</f>
        <v/>
      </c>
      <c r="H398" s="82">
        <f>IF($B398="","",TEXT($B398,"mmm yyyy"))</f>
        <v/>
      </c>
    </row>
    <row r="399" ht="18" customHeight="1">
      <c r="A399" s="14" t="n"/>
      <c r="B399" s="98" t="inlineStr">
        <is>
          <t>2026-03-15</t>
        </is>
      </c>
      <c r="C399" s="99" t="inlineStr">
        <is>
          <t>PIC'N SAVE #248</t>
        </is>
      </c>
      <c r="D399" s="100" t="n">
        <v>2.01</v>
      </c>
      <c r="E399" s="101">
        <f>IF($C399="","",IFERROR(LOOKUP(2,1/((ISNUMBER(SEARCH('Category Rules'!$B$6:$B$125,$C399)))*('Category Rules'!$B$6:$B$125&lt;&gt;"")),'Category Rules'!$C$6:$C$125),"Uncategorized"))</f>
        <v/>
      </c>
      <c r="F399" s="108" t="n"/>
      <c r="G399" s="103">
        <f>IF($C399="","",IF($F399&lt;&gt;"",$F399,$E399))</f>
        <v/>
      </c>
      <c r="H399" s="85">
        <f>IF($B399="","",TEXT($B399,"mmm yyyy"))</f>
        <v/>
      </c>
    </row>
    <row r="400" ht="18" customHeight="1">
      <c r="A400" s="10" t="n"/>
      <c r="B400" s="98" t="inlineStr">
        <is>
          <t>2026-03-15</t>
        </is>
      </c>
      <c r="C400" s="99" t="inlineStr">
        <is>
          <t>PIC'N SAVE #248</t>
        </is>
      </c>
      <c r="D400" s="100" t="n">
        <v>2.01</v>
      </c>
      <c r="E400" s="104">
        <f>IF($C400="","",IFERROR(LOOKUP(2,1/((ISNUMBER(SEARCH('Category Rules'!$B$6:$B$125,$C400)))*('Category Rules'!$B$6:$B$125&lt;&gt;"")),'Category Rules'!$C$6:$C$125),"Uncategorized"))</f>
        <v/>
      </c>
      <c r="F400" s="108" t="n"/>
      <c r="G400" s="106">
        <f>IF($C400="","",IF($F400&lt;&gt;"",$F400,$E400))</f>
        <v/>
      </c>
      <c r="H400" s="82">
        <f>IF($B400="","",TEXT($B400,"mmm yyyy"))</f>
        <v/>
      </c>
    </row>
    <row r="401" ht="18" customHeight="1">
      <c r="A401" s="14" t="n"/>
      <c r="B401" s="98" t="inlineStr">
        <is>
          <t>2026-03-15</t>
        </is>
      </c>
      <c r="C401" s="99" t="inlineStr">
        <is>
          <t>PIC'N SAVE #248</t>
        </is>
      </c>
      <c r="D401" s="100" t="n">
        <v>2.37</v>
      </c>
      <c r="E401" s="101">
        <f>IF($C401="","",IFERROR(LOOKUP(2,1/((ISNUMBER(SEARCH('Category Rules'!$B$6:$B$125,$C401)))*('Category Rules'!$B$6:$B$125&lt;&gt;"")),'Category Rules'!$C$6:$C$125),"Uncategorized"))</f>
        <v/>
      </c>
      <c r="F401" s="108" t="n"/>
      <c r="G401" s="103">
        <f>IF($C401="","",IF($F401&lt;&gt;"",$F401,$E401))</f>
        <v/>
      </c>
      <c r="H401" s="85">
        <f>IF($B401="","",TEXT($B401,"mmm yyyy"))</f>
        <v/>
      </c>
    </row>
    <row r="402" ht="18" customHeight="1">
      <c r="A402" s="10" t="n"/>
      <c r="B402" s="98" t="inlineStr">
        <is>
          <t>2026-03-15</t>
        </is>
      </c>
      <c r="C402" s="99" t="inlineStr">
        <is>
          <t>CHICK-FIL-A #04457</t>
        </is>
      </c>
      <c r="D402" s="100" t="n">
        <v>11.72</v>
      </c>
      <c r="E402" s="104">
        <f>IF($C402="","",IFERROR(LOOKUP(2,1/((ISNUMBER(SEARCH('Category Rules'!$B$6:$B$125,$C402)))*('Category Rules'!$B$6:$B$125&lt;&gt;"")),'Category Rules'!$C$6:$C$125),"Uncategorized"))</f>
        <v/>
      </c>
      <c r="F402" s="108" t="n"/>
      <c r="G402" s="106">
        <f>IF($C402="","",IF($F402&lt;&gt;"",$F402,$E402))</f>
        <v/>
      </c>
      <c r="H402" s="82">
        <f>IF($B402="","",TEXT($B402,"mmm yyyy"))</f>
        <v/>
      </c>
    </row>
    <row r="403" ht="18" customHeight="1">
      <c r="A403" s="14" t="n"/>
      <c r="B403" s="98" t="inlineStr">
        <is>
          <t>2026-03-15</t>
        </is>
      </c>
      <c r="C403" s="99" t="inlineStr">
        <is>
          <t>DOMINO'S 5860</t>
        </is>
      </c>
      <c r="D403" s="100" t="n">
        <v>12.78</v>
      </c>
      <c r="E403" s="101">
        <f>IF($C403="","",IFERROR(LOOKUP(2,1/((ISNUMBER(SEARCH('Category Rules'!$B$6:$B$125,$C403)))*('Category Rules'!$B$6:$B$125&lt;&gt;"")),'Category Rules'!$C$6:$C$125),"Uncategorized"))</f>
        <v/>
      </c>
      <c r="F403" s="108" t="n"/>
      <c r="G403" s="103">
        <f>IF($C403="","",IF($F403&lt;&gt;"",$F403,$E403))</f>
        <v/>
      </c>
      <c r="H403" s="85">
        <f>IF($B403="","",TEXT($B403,"mmm yyyy"))</f>
        <v/>
      </c>
    </row>
    <row r="404" ht="18" customHeight="1">
      <c r="A404" s="10" t="n"/>
      <c r="B404" s="98" t="inlineStr">
        <is>
          <t>2026-03-15</t>
        </is>
      </c>
      <c r="C404" s="99" t="inlineStr">
        <is>
          <t>PIC'N SAVE #248</t>
        </is>
      </c>
      <c r="D404" s="100" t="n">
        <v>2.42</v>
      </c>
      <c r="E404" s="104">
        <f>IF($C404="","",IFERROR(LOOKUP(2,1/((ISNUMBER(SEARCH('Category Rules'!$B$6:$B$125,$C404)))*('Category Rules'!$B$6:$B$125&lt;&gt;"")),'Category Rules'!$C$6:$C$125),"Uncategorized"))</f>
        <v/>
      </c>
      <c r="F404" s="108" t="n"/>
      <c r="G404" s="106">
        <f>IF($C404="","",IF($F404&lt;&gt;"",$F404,$E404))</f>
        <v/>
      </c>
      <c r="H404" s="82">
        <f>IF($B404="","",TEXT($B404,"mmm yyyy"))</f>
        <v/>
      </c>
    </row>
    <row r="405" ht="18" customHeight="1">
      <c r="A405" s="14" t="n"/>
      <c r="B405" s="98" t="inlineStr">
        <is>
          <t>2026-03-16</t>
        </is>
      </c>
      <c r="C405" s="99" t="inlineStr">
        <is>
          <t>PIC'N SAVE #248</t>
        </is>
      </c>
      <c r="D405" s="100" t="n">
        <v>1.44</v>
      </c>
      <c r="E405" s="101">
        <f>IF($C405="","",IFERROR(LOOKUP(2,1/((ISNUMBER(SEARCH('Category Rules'!$B$6:$B$125,$C405)))*('Category Rules'!$B$6:$B$125&lt;&gt;"")),'Category Rules'!$C$6:$C$125),"Uncategorized"))</f>
        <v/>
      </c>
      <c r="F405" s="108" t="n"/>
      <c r="G405" s="103">
        <f>IF($C405="","",IF($F405&lt;&gt;"",$F405,$E405))</f>
        <v/>
      </c>
      <c r="H405" s="85">
        <f>IF($B405="","",TEXT($B405,"mmm yyyy"))</f>
        <v/>
      </c>
    </row>
    <row r="406" ht="18" customHeight="1">
      <c r="A406" s="10" t="n"/>
      <c r="B406" s="98" t="inlineStr">
        <is>
          <t>2026-03-16</t>
        </is>
      </c>
      <c r="C406" s="99" t="inlineStr">
        <is>
          <t>PIC'N SAVE #248</t>
        </is>
      </c>
      <c r="D406" s="100" t="n">
        <v>10.88</v>
      </c>
      <c r="E406" s="104">
        <f>IF($C406="","",IFERROR(LOOKUP(2,1/((ISNUMBER(SEARCH('Category Rules'!$B$6:$B$125,$C406)))*('Category Rules'!$B$6:$B$125&lt;&gt;"")),'Category Rules'!$C$6:$C$125),"Uncategorized"))</f>
        <v/>
      </c>
      <c r="F406" s="108" t="n"/>
      <c r="G406" s="106">
        <f>IF($C406="","",IF($F406&lt;&gt;"",$F406,$E406))</f>
        <v/>
      </c>
      <c r="H406" s="82">
        <f>IF($B406="","",TEXT($B406,"mmm yyyy"))</f>
        <v/>
      </c>
    </row>
    <row r="407" ht="18" customHeight="1">
      <c r="A407" s="14" t="n"/>
      <c r="B407" s="98" t="inlineStr">
        <is>
          <t>2026-03-16</t>
        </is>
      </c>
      <c r="C407" s="99" t="inlineStr">
        <is>
          <t>PIC'N SAVE #248</t>
        </is>
      </c>
      <c r="D407" s="100" t="n">
        <v>10.13</v>
      </c>
      <c r="E407" s="101">
        <f>IF($C407="","",IFERROR(LOOKUP(2,1/((ISNUMBER(SEARCH('Category Rules'!$B$6:$B$125,$C407)))*('Category Rules'!$B$6:$B$125&lt;&gt;"")),'Category Rules'!$C$6:$C$125),"Uncategorized"))</f>
        <v/>
      </c>
      <c r="F407" s="108" t="n"/>
      <c r="G407" s="103">
        <f>IF($C407="","",IF($F407&lt;&gt;"",$F407,$E407))</f>
        <v/>
      </c>
      <c r="H407" s="85">
        <f>IF($B407="","",TEXT($B407,"mmm yyyy"))</f>
        <v/>
      </c>
    </row>
    <row r="408" ht="18" customHeight="1">
      <c r="A408" s="10" t="n"/>
      <c r="B408" s="98" t="inlineStr">
        <is>
          <t>2026-03-16</t>
        </is>
      </c>
      <c r="C408" s="99" t="inlineStr">
        <is>
          <t>TST* ROCK N ROOSTER SA</t>
        </is>
      </c>
      <c r="D408" s="100" t="n">
        <v>39.16</v>
      </c>
      <c r="E408" s="104">
        <f>IF($C408="","",IFERROR(LOOKUP(2,1/((ISNUMBER(SEARCH('Category Rules'!$B$6:$B$125,$C408)))*('Category Rules'!$B$6:$B$125&lt;&gt;"")),'Category Rules'!$C$6:$C$125),"Uncategorized"))</f>
        <v/>
      </c>
      <c r="F408" s="108" t="n"/>
      <c r="G408" s="106">
        <f>IF($C408="","",IF($F408&lt;&gt;"",$F408,$E408))</f>
        <v/>
      </c>
      <c r="H408" s="82">
        <f>IF($B408="","",TEXT($B408,"mmm yyyy"))</f>
        <v/>
      </c>
    </row>
    <row r="409" ht="18" customHeight="1">
      <c r="A409" s="14" t="n"/>
      <c r="B409" s="98" t="inlineStr">
        <is>
          <t>2026-03-16</t>
        </is>
      </c>
      <c r="C409" s="99" t="inlineStr">
        <is>
          <t>JACK'S #156 HEFLIN</t>
        </is>
      </c>
      <c r="D409" s="100" t="n">
        <v>7.28</v>
      </c>
      <c r="E409" s="101">
        <f>IF($C409="","",IFERROR(LOOKUP(2,1/((ISNUMBER(SEARCH('Category Rules'!$B$6:$B$125,$C409)))*('Category Rules'!$B$6:$B$125&lt;&gt;"")),'Category Rules'!$C$6:$C$125),"Uncategorized"))</f>
        <v/>
      </c>
      <c r="F409" s="108" t="n"/>
      <c r="G409" s="103">
        <f>IF($C409="","",IF($F409&lt;&gt;"",$F409,$E409))</f>
        <v/>
      </c>
      <c r="H409" s="85">
        <f>IF($B409="","",TEXT($B409,"mmm yyyy"))</f>
        <v/>
      </c>
    </row>
    <row r="410" ht="18" customHeight="1">
      <c r="A410" s="10" t="n"/>
      <c r="B410" s="98" t="inlineStr">
        <is>
          <t>2026-03-16</t>
        </is>
      </c>
      <c r="C410" s="99" t="inlineStr">
        <is>
          <t>JACK'S #156 HEFLIN</t>
        </is>
      </c>
      <c r="D410" s="100" t="n">
        <v>10.89</v>
      </c>
      <c r="E410" s="104">
        <f>IF($C410="","",IFERROR(LOOKUP(2,1/((ISNUMBER(SEARCH('Category Rules'!$B$6:$B$125,$C410)))*('Category Rules'!$B$6:$B$125&lt;&gt;"")),'Category Rules'!$C$6:$C$125),"Uncategorized"))</f>
        <v/>
      </c>
      <c r="F410" s="108" t="n"/>
      <c r="G410" s="106">
        <f>IF($C410="","",IF($F410&lt;&gt;"",$F410,$E410))</f>
        <v/>
      </c>
      <c r="H410" s="82">
        <f>IF($B410="","",TEXT($B410,"mmm yyyy"))</f>
        <v/>
      </c>
    </row>
    <row r="411" ht="18" customHeight="1">
      <c r="A411" s="14" t="n"/>
      <c r="B411" s="98" t="inlineStr">
        <is>
          <t>2026-03-16</t>
        </is>
      </c>
      <c r="C411" s="99" t="inlineStr">
        <is>
          <t>ORACL*Waffle House 160</t>
        </is>
      </c>
      <c r="D411" s="100" t="n">
        <v>17.5</v>
      </c>
      <c r="E411" s="101">
        <f>IF($C411="","",IFERROR(LOOKUP(2,1/((ISNUMBER(SEARCH('Category Rules'!$B$6:$B$125,$C411)))*('Category Rules'!$B$6:$B$125&lt;&gt;"")),'Category Rules'!$C$6:$C$125),"Uncategorized"))</f>
        <v/>
      </c>
      <c r="F411" s="108" t="n"/>
      <c r="G411" s="103">
        <f>IF($C411="","",IF($F411&lt;&gt;"",$F411,$E411))</f>
        <v/>
      </c>
      <c r="H411" s="85">
        <f>IF($B411="","",TEXT($B411,"mmm yyyy"))</f>
        <v/>
      </c>
    </row>
    <row r="412" ht="18" customHeight="1">
      <c r="A412" s="10" t="n"/>
      <c r="B412" s="98" t="inlineStr">
        <is>
          <t>2026-03-16</t>
        </is>
      </c>
      <c r="C412" s="99" t="inlineStr">
        <is>
          <t>PIC'N SAVE #248</t>
        </is>
      </c>
      <c r="D412" s="100" t="n">
        <v>2.51</v>
      </c>
      <c r="E412" s="104">
        <f>IF($C412="","",IFERROR(LOOKUP(2,1/((ISNUMBER(SEARCH('Category Rules'!$B$6:$B$125,$C412)))*('Category Rules'!$B$6:$B$125&lt;&gt;"")),'Category Rules'!$C$6:$C$125),"Uncategorized"))</f>
        <v/>
      </c>
      <c r="F412" s="108" t="n"/>
      <c r="G412" s="106">
        <f>IF($C412="","",IF($F412&lt;&gt;"",$F412,$E412))</f>
        <v/>
      </c>
      <c r="H412" s="82">
        <f>IF($B412="","",TEXT($B412,"mmm yyyy"))</f>
        <v/>
      </c>
    </row>
    <row r="413" ht="18" customHeight="1">
      <c r="A413" s="14" t="n"/>
      <c r="B413" s="98" t="inlineStr">
        <is>
          <t>2026-03-16</t>
        </is>
      </c>
      <c r="C413" s="99" t="inlineStr">
        <is>
          <t>CALHOUN COUNTY W</t>
        </is>
      </c>
      <c r="D413" s="100" t="n">
        <v>39.61</v>
      </c>
      <c r="E413" s="101">
        <f>IF($C413="","",IFERROR(LOOKUP(2,1/((ISNUMBER(SEARCH('Category Rules'!$B$6:$B$125,$C413)))*('Category Rules'!$B$6:$B$125&lt;&gt;"")),'Category Rules'!$C$6:$C$125),"Uncategorized"))</f>
        <v/>
      </c>
      <c r="F413" s="108" t="n"/>
      <c r="G413" s="103">
        <f>IF($C413="","",IF($F413&lt;&gt;"",$F413,$E413))</f>
        <v/>
      </c>
      <c r="H413" s="85">
        <f>IF($B413="","",TEXT($B413,"mmm yyyy"))</f>
        <v/>
      </c>
    </row>
    <row r="414" ht="18" customHeight="1">
      <c r="A414" s="10" t="n"/>
      <c r="B414" s="98" t="inlineStr">
        <is>
          <t>2026-03-17</t>
        </is>
      </c>
      <c r="C414" s="99" t="inlineStr">
        <is>
          <t>W. M. GROCERY</t>
        </is>
      </c>
      <c r="D414" s="100" t="n">
        <v>3.23</v>
      </c>
      <c r="E414" s="104">
        <f>IF($C414="","",IFERROR(LOOKUP(2,1/((ISNUMBER(SEARCH('Category Rules'!$B$6:$B$125,$C414)))*('Category Rules'!$B$6:$B$125&lt;&gt;"")),'Category Rules'!$C$6:$C$125),"Uncategorized"))</f>
        <v/>
      </c>
      <c r="F414" s="108" t="n"/>
      <c r="G414" s="106">
        <f>IF($C414="","",IF($F414&lt;&gt;"",$F414,$E414))</f>
        <v/>
      </c>
      <c r="H414" s="82">
        <f>IF($B414="","",TEXT($B414,"mmm yyyy"))</f>
        <v/>
      </c>
    </row>
    <row r="415" ht="18" customHeight="1">
      <c r="A415" s="14" t="n"/>
      <c r="B415" s="98" t="inlineStr">
        <is>
          <t>2026-03-17</t>
        </is>
      </c>
      <c r="C415" s="99" t="inlineStr">
        <is>
          <t>JACK'S #200</t>
        </is>
      </c>
      <c r="D415" s="100" t="n">
        <v>10.99</v>
      </c>
      <c r="E415" s="101">
        <f>IF($C415="","",IFERROR(LOOKUP(2,1/((ISNUMBER(SEARCH('Category Rules'!$B$6:$B$125,$C415)))*('Category Rules'!$B$6:$B$125&lt;&gt;"")),'Category Rules'!$C$6:$C$125),"Uncategorized"))</f>
        <v/>
      </c>
      <c r="F415" s="108" t="n"/>
      <c r="G415" s="103">
        <f>IF($C415="","",IF($F415&lt;&gt;"",$F415,$E415))</f>
        <v/>
      </c>
      <c r="H415" s="85">
        <f>IF($B415="","",TEXT($B415,"mmm yyyy"))</f>
        <v/>
      </c>
    </row>
    <row r="416" ht="18" customHeight="1">
      <c r="A416" s="10" t="n"/>
      <c r="B416" s="98" t="inlineStr">
        <is>
          <t>2026-03-17</t>
        </is>
      </c>
      <c r="C416" s="99" t="inlineStr">
        <is>
          <t>Bojangles 0914</t>
        </is>
      </c>
      <c r="D416" s="100" t="n">
        <v>8.130000000000001</v>
      </c>
      <c r="E416" s="104">
        <f>IF($C416="","",IFERROR(LOOKUP(2,1/((ISNUMBER(SEARCH('Category Rules'!$B$6:$B$125,$C416)))*('Category Rules'!$B$6:$B$125&lt;&gt;"")),'Category Rules'!$C$6:$C$125),"Uncategorized"))</f>
        <v/>
      </c>
      <c r="F416" s="108" t="n"/>
      <c r="G416" s="106">
        <f>IF($C416="","",IF($F416&lt;&gt;"",$F416,$E416))</f>
        <v/>
      </c>
      <c r="H416" s="82">
        <f>IF($B416="","",TEXT($B416,"mmm yyyy"))</f>
        <v/>
      </c>
    </row>
    <row r="417" ht="18" customHeight="1">
      <c r="A417" s="14" t="n"/>
      <c r="B417" s="98" t="inlineStr">
        <is>
          <t>2026-03-17</t>
        </is>
      </c>
      <c r="C417" s="99" t="inlineStr">
        <is>
          <t>ZAXBY'S #34001</t>
        </is>
      </c>
      <c r="D417" s="100" t="n">
        <v>13.52</v>
      </c>
      <c r="E417" s="101">
        <f>IF($C417="","",IFERROR(LOOKUP(2,1/((ISNUMBER(SEARCH('Category Rules'!$B$6:$B$125,$C417)))*('Category Rules'!$B$6:$B$125&lt;&gt;"")),'Category Rules'!$C$6:$C$125),"Uncategorized"))</f>
        <v/>
      </c>
      <c r="F417" s="108" t="n"/>
      <c r="G417" s="103">
        <f>IF($C417="","",IF($F417&lt;&gt;"",$F417,$E417))</f>
        <v/>
      </c>
      <c r="H417" s="85">
        <f>IF($B417="","",TEXT($B417,"mmm yyyy"))</f>
        <v/>
      </c>
    </row>
    <row r="418" ht="18" customHeight="1">
      <c r="A418" s="10" t="n"/>
      <c r="B418" s="98" t="inlineStr">
        <is>
          <t>2026-03-17</t>
        </is>
      </c>
      <c r="C418" s="99" t="inlineStr">
        <is>
          <t>JACK'S #156 HEFLIN</t>
        </is>
      </c>
      <c r="D418" s="100" t="n">
        <v>4.79</v>
      </c>
      <c r="E418" s="104">
        <f>IF($C418="","",IFERROR(LOOKUP(2,1/((ISNUMBER(SEARCH('Category Rules'!$B$6:$B$125,$C418)))*('Category Rules'!$B$6:$B$125&lt;&gt;"")),'Category Rules'!$C$6:$C$125),"Uncategorized"))</f>
        <v/>
      </c>
      <c r="F418" s="108" t="n"/>
      <c r="G418" s="106">
        <f>IF($C418="","",IF($F418&lt;&gt;"",$F418,$E418))</f>
        <v/>
      </c>
      <c r="H418" s="82">
        <f>IF($B418="","",TEXT($B418,"mmm yyyy"))</f>
        <v/>
      </c>
    </row>
    <row r="419" ht="18" customHeight="1">
      <c r="A419" s="14" t="n"/>
      <c r="B419" s="98" t="inlineStr">
        <is>
          <t>2026-03-18</t>
        </is>
      </c>
      <c r="C419" s="99" t="inlineStr">
        <is>
          <t>CLAUDE.AI SUBSCRIPTION</t>
        </is>
      </c>
      <c r="D419" s="100" t="n">
        <v>20</v>
      </c>
      <c r="E419" s="101">
        <f>IF($C419="","",IFERROR(LOOKUP(2,1/((ISNUMBER(SEARCH('Category Rules'!$B$6:$B$125,$C419)))*('Category Rules'!$B$6:$B$125&lt;&gt;"")),'Category Rules'!$C$6:$C$125),"Uncategorized"))</f>
        <v/>
      </c>
      <c r="F419" s="108" t="n"/>
      <c r="G419" s="103">
        <f>IF($C419="","",IF($F419&lt;&gt;"",$F419,$E419))</f>
        <v/>
      </c>
      <c r="H419" s="85">
        <f>IF($B419="","",TEXT($B419,"mmm yyyy"))</f>
        <v/>
      </c>
    </row>
    <row r="420" ht="18" customHeight="1">
      <c r="A420" s="10" t="n"/>
      <c r="B420" s="98" t="inlineStr">
        <is>
          <t>2026-03-18</t>
        </is>
      </c>
      <c r="C420" s="99" t="inlineStr">
        <is>
          <t>ANTHROPIC</t>
        </is>
      </c>
      <c r="D420" s="100" t="n">
        <v>5</v>
      </c>
      <c r="E420" s="104">
        <f>IF($C420="","",IFERROR(LOOKUP(2,1/((ISNUMBER(SEARCH('Category Rules'!$B$6:$B$125,$C420)))*('Category Rules'!$B$6:$B$125&lt;&gt;"")),'Category Rules'!$C$6:$C$125),"Uncategorized"))</f>
        <v/>
      </c>
      <c r="F420" s="108" t="n"/>
      <c r="G420" s="106">
        <f>IF($C420="","",IF($F420&lt;&gt;"",$F420,$E420))</f>
        <v/>
      </c>
      <c r="H420" s="82">
        <f>IF($B420="","",TEXT($B420,"mmm yyyy"))</f>
        <v/>
      </c>
    </row>
    <row r="421" ht="18" customHeight="1">
      <c r="A421" s="14" t="n"/>
      <c r="B421" s="98" t="inlineStr">
        <is>
          <t>2026-03-18</t>
        </is>
      </c>
      <c r="C421" s="99" t="inlineStr">
        <is>
          <t>Bojangles 0914</t>
        </is>
      </c>
      <c r="D421" s="100" t="n">
        <v>8.130000000000001</v>
      </c>
      <c r="E421" s="101">
        <f>IF($C421="","",IFERROR(LOOKUP(2,1/((ISNUMBER(SEARCH('Category Rules'!$B$6:$B$125,$C421)))*('Category Rules'!$B$6:$B$125&lt;&gt;"")),'Category Rules'!$C$6:$C$125),"Uncategorized"))</f>
        <v/>
      </c>
      <c r="F421" s="108" t="n"/>
      <c r="G421" s="103">
        <f>IF($C421="","",IF($F421&lt;&gt;"",$F421,$E421))</f>
        <v/>
      </c>
      <c r="H421" s="85">
        <f>IF($B421="","",TEXT($B421,"mmm yyyy"))</f>
        <v/>
      </c>
    </row>
    <row r="422" ht="18" customHeight="1">
      <c r="A422" s="10" t="n"/>
      <c r="B422" s="98" t="inlineStr">
        <is>
          <t>2026-03-19</t>
        </is>
      </c>
      <c r="C422" s="99" t="inlineStr">
        <is>
          <t>SUBWAY 27228</t>
        </is>
      </c>
      <c r="D422" s="100" t="n">
        <v>8.220000000000001</v>
      </c>
      <c r="E422" s="104">
        <f>IF($C422="","",IFERROR(LOOKUP(2,1/((ISNUMBER(SEARCH('Category Rules'!$B$6:$B$125,$C422)))*('Category Rules'!$B$6:$B$125&lt;&gt;"")),'Category Rules'!$C$6:$C$125),"Uncategorized"))</f>
        <v/>
      </c>
      <c r="F422" s="108" t="n"/>
      <c r="G422" s="106">
        <f>IF($C422="","",IF($F422&lt;&gt;"",$F422,$E422))</f>
        <v/>
      </c>
      <c r="H422" s="82">
        <f>IF($B422="","",TEXT($B422,"mmm yyyy"))</f>
        <v/>
      </c>
    </row>
    <row r="423" ht="18" customHeight="1">
      <c r="A423" s="14" t="n"/>
      <c r="B423" s="98" t="inlineStr">
        <is>
          <t>2026-03-19</t>
        </is>
      </c>
      <c r="C423" s="99" t="inlineStr">
        <is>
          <t>JACK'S #153 OXFORD</t>
        </is>
      </c>
      <c r="D423" s="100" t="n">
        <v>10.99</v>
      </c>
      <c r="E423" s="101">
        <f>IF($C423="","",IFERROR(LOOKUP(2,1/((ISNUMBER(SEARCH('Category Rules'!$B$6:$B$125,$C423)))*('Category Rules'!$B$6:$B$125&lt;&gt;"")),'Category Rules'!$C$6:$C$125),"Uncategorized"))</f>
        <v/>
      </c>
      <c r="F423" s="108" t="n"/>
      <c r="G423" s="103">
        <f>IF($C423="","",IF($F423&lt;&gt;"",$F423,$E423))</f>
        <v/>
      </c>
      <c r="H423" s="85">
        <f>IF($B423="","",TEXT($B423,"mmm yyyy"))</f>
        <v/>
      </c>
    </row>
    <row r="424" ht="18" customHeight="1">
      <c r="A424" s="10" t="n"/>
      <c r="B424" s="98" t="inlineStr">
        <is>
          <t>2026-03-19</t>
        </is>
      </c>
      <c r="C424" s="99" t="inlineStr">
        <is>
          <t>Bojangles 0914</t>
        </is>
      </c>
      <c r="D424" s="100" t="n">
        <v>8.68</v>
      </c>
      <c r="E424" s="104">
        <f>IF($C424="","",IFERROR(LOOKUP(2,1/((ISNUMBER(SEARCH('Category Rules'!$B$6:$B$125,$C424)))*('Category Rules'!$B$6:$B$125&lt;&gt;"")),'Category Rules'!$C$6:$C$125),"Uncategorized"))</f>
        <v/>
      </c>
      <c r="F424" s="108" t="n"/>
      <c r="G424" s="106">
        <f>IF($C424="","",IF($F424&lt;&gt;"",$F424,$E424))</f>
        <v/>
      </c>
      <c r="H424" s="82">
        <f>IF($B424="","",TEXT($B424,"mmm yyyy"))</f>
        <v/>
      </c>
    </row>
    <row r="425" ht="18" customHeight="1">
      <c r="A425" s="14" t="n"/>
      <c r="B425" s="98" t="inlineStr">
        <is>
          <t>2026-03-19</t>
        </is>
      </c>
      <c r="C425" s="99" t="inlineStr">
        <is>
          <t>MERIDIAN WASTE A</t>
        </is>
      </c>
      <c r="D425" s="100" t="n">
        <v>66.03</v>
      </c>
      <c r="E425" s="101">
        <f>IF($C425="","",IFERROR(LOOKUP(2,1/((ISNUMBER(SEARCH('Category Rules'!$B$6:$B$125,$C425)))*('Category Rules'!$B$6:$B$125&lt;&gt;"")),'Category Rules'!$C$6:$C$125),"Uncategorized"))</f>
        <v/>
      </c>
      <c r="F425" s="108" t="n"/>
      <c r="G425" s="103">
        <f>IF($C425="","",IF($F425&lt;&gt;"",$F425,$E425))</f>
        <v/>
      </c>
      <c r="H425" s="85">
        <f>IF($B425="","",TEXT($B425,"mmm yyyy"))</f>
        <v/>
      </c>
    </row>
    <row r="426" ht="18" customHeight="1">
      <c r="A426" s="10" t="n"/>
      <c r="B426" s="98" t="inlineStr">
        <is>
          <t>2026-03-20</t>
        </is>
      </c>
      <c r="C426" s="99" t="inlineStr">
        <is>
          <t>WAL-MART #0300</t>
        </is>
      </c>
      <c r="D426" s="100" t="n">
        <v>138.81</v>
      </c>
      <c r="E426" s="104">
        <f>IF($C426="","",IFERROR(LOOKUP(2,1/((ISNUMBER(SEARCH('Category Rules'!$B$6:$B$125,$C426)))*('Category Rules'!$B$6:$B$125&lt;&gt;"")),'Category Rules'!$C$6:$C$125),"Uncategorized"))</f>
        <v/>
      </c>
      <c r="F426" s="108" t="n"/>
      <c r="G426" s="106">
        <f>IF($C426="","",IF($F426&lt;&gt;"",$F426,$E426))</f>
        <v/>
      </c>
      <c r="H426" s="82">
        <f>IF($B426="","",TEXT($B426,"mmm yyyy"))</f>
        <v/>
      </c>
    </row>
    <row r="427" ht="18" customHeight="1">
      <c r="A427" s="14" t="n"/>
      <c r="B427" s="98" t="inlineStr">
        <is>
          <t>2026-03-20</t>
        </is>
      </c>
      <c r="C427" s="99" t="inlineStr">
        <is>
          <t>BREEDS FOOD MAR</t>
        </is>
      </c>
      <c r="D427" s="100" t="n">
        <v>61.51</v>
      </c>
      <c r="E427" s="101">
        <f>IF($C427="","",IFERROR(LOOKUP(2,1/((ISNUMBER(SEARCH('Category Rules'!$B$6:$B$125,$C427)))*('Category Rules'!$B$6:$B$125&lt;&gt;"")),'Category Rules'!$C$6:$C$125),"Uncategorized"))</f>
        <v/>
      </c>
      <c r="F427" s="108" t="n"/>
      <c r="G427" s="103">
        <f>IF($C427="","",IF($F427&lt;&gt;"",$F427,$E427))</f>
        <v/>
      </c>
      <c r="H427" s="85">
        <f>IF($B427="","",TEXT($B427,"mmm yyyy"))</f>
        <v/>
      </c>
    </row>
    <row r="428" ht="18" customHeight="1">
      <c r="A428" s="10" t="n"/>
      <c r="B428" s="98" t="inlineStr">
        <is>
          <t>2026-03-20</t>
        </is>
      </c>
      <c r="C428" s="99" t="inlineStr">
        <is>
          <t>W. M. GROCERY</t>
        </is>
      </c>
      <c r="D428" s="100" t="n">
        <v>2.15</v>
      </c>
      <c r="E428" s="104">
        <f>IF($C428="","",IFERROR(LOOKUP(2,1/((ISNUMBER(SEARCH('Category Rules'!$B$6:$B$125,$C428)))*('Category Rules'!$B$6:$B$125&lt;&gt;"")),'Category Rules'!$C$6:$C$125),"Uncategorized"))</f>
        <v/>
      </c>
      <c r="F428" s="108" t="n"/>
      <c r="G428" s="106">
        <f>IF($C428="","",IF($F428&lt;&gt;"",$F428,$E428))</f>
        <v/>
      </c>
      <c r="H428" s="82">
        <f>IF($B428="","",TEXT($B428,"mmm yyyy"))</f>
        <v/>
      </c>
    </row>
    <row r="429" ht="18" customHeight="1">
      <c r="A429" s="14" t="n"/>
      <c r="B429" s="98" t="inlineStr">
        <is>
          <t>2026-03-20</t>
        </is>
      </c>
      <c r="C429" s="99" t="inlineStr">
        <is>
          <t>W. M. GROCERY</t>
        </is>
      </c>
      <c r="D429" s="100" t="n">
        <v>3</v>
      </c>
      <c r="E429" s="101">
        <f>IF($C429="","",IFERROR(LOOKUP(2,1/((ISNUMBER(SEARCH('Category Rules'!$B$6:$B$125,$C429)))*('Category Rules'!$B$6:$B$125&lt;&gt;"")),'Category Rules'!$C$6:$C$125),"Uncategorized"))</f>
        <v/>
      </c>
      <c r="F429" s="108" t="n"/>
      <c r="G429" s="103">
        <f>IF($C429="","",IF($F429&lt;&gt;"",$F429,$E429))</f>
        <v/>
      </c>
      <c r="H429" s="85">
        <f>IF($B429="","",TEXT($B429,"mmm yyyy"))</f>
        <v/>
      </c>
    </row>
    <row r="430" ht="18" customHeight="1">
      <c r="A430" s="10" t="n"/>
      <c r="B430" s="98" t="inlineStr">
        <is>
          <t>2026-03-20</t>
        </is>
      </c>
      <c r="C430" s="99" t="inlineStr">
        <is>
          <t>TST* ROCK N ROOSTER SA</t>
        </is>
      </c>
      <c r="D430" s="100" t="n">
        <v>13.57</v>
      </c>
      <c r="E430" s="104">
        <f>IF($C430="","",IFERROR(LOOKUP(2,1/((ISNUMBER(SEARCH('Category Rules'!$B$6:$B$125,$C430)))*('Category Rules'!$B$6:$B$125&lt;&gt;"")),'Category Rules'!$C$6:$C$125),"Uncategorized"))</f>
        <v/>
      </c>
      <c r="F430" s="108" t="n"/>
      <c r="G430" s="106">
        <f>IF($C430="","",IF($F430&lt;&gt;"",$F430,$E430))</f>
        <v/>
      </c>
      <c r="H430" s="82">
        <f>IF($B430="","",TEXT($B430,"mmm yyyy"))</f>
        <v/>
      </c>
    </row>
    <row r="431" ht="18" customHeight="1">
      <c r="A431" s="14" t="n"/>
      <c r="B431" s="98" t="inlineStr">
        <is>
          <t>2026-03-20</t>
        </is>
      </c>
      <c r="C431" s="99" t="inlineStr">
        <is>
          <t>TST* ROCK N ROOSTER SA</t>
        </is>
      </c>
      <c r="D431" s="100" t="n">
        <v>19.55</v>
      </c>
      <c r="E431" s="101">
        <f>IF($C431="","",IFERROR(LOOKUP(2,1/((ISNUMBER(SEARCH('Category Rules'!$B$6:$B$125,$C431)))*('Category Rules'!$B$6:$B$125&lt;&gt;"")),'Category Rules'!$C$6:$C$125),"Uncategorized"))</f>
        <v/>
      </c>
      <c r="F431" s="108" t="n"/>
      <c r="G431" s="103">
        <f>IF($C431="","",IF($F431&lt;&gt;"",$F431,$E431))</f>
        <v/>
      </c>
      <c r="H431" s="85">
        <f>IF($B431="","",TEXT($B431,"mmm yyyy"))</f>
        <v/>
      </c>
    </row>
    <row r="432" ht="18" customHeight="1">
      <c r="A432" s="10" t="n"/>
      <c r="B432" s="98" t="inlineStr">
        <is>
          <t>2026-03-20</t>
        </is>
      </c>
      <c r="C432" s="99" t="inlineStr">
        <is>
          <t>JACK'S #200</t>
        </is>
      </c>
      <c r="D432" s="100" t="n">
        <v>10.99</v>
      </c>
      <c r="E432" s="104">
        <f>IF($C432="","",IFERROR(LOOKUP(2,1/((ISNUMBER(SEARCH('Category Rules'!$B$6:$B$125,$C432)))*('Category Rules'!$B$6:$B$125&lt;&gt;"")),'Category Rules'!$C$6:$C$125),"Uncategorized"))</f>
        <v/>
      </c>
      <c r="F432" s="108" t="n"/>
      <c r="G432" s="106">
        <f>IF($C432="","",IF($F432&lt;&gt;"",$F432,$E432))</f>
        <v/>
      </c>
      <c r="H432" s="82">
        <f>IF($B432="","",TEXT($B432,"mmm yyyy"))</f>
        <v/>
      </c>
    </row>
    <row r="433" ht="18" customHeight="1">
      <c r="A433" s="14" t="n"/>
      <c r="B433" s="98" t="inlineStr">
        <is>
          <t>2026-03-20</t>
        </is>
      </c>
      <c r="C433" s="99" t="inlineStr">
        <is>
          <t>W M GROCERY</t>
        </is>
      </c>
      <c r="D433" s="100" t="n">
        <v>3.2</v>
      </c>
      <c r="E433" s="101">
        <f>IF($C433="","",IFERROR(LOOKUP(2,1/((ISNUMBER(SEARCH('Category Rules'!$B$6:$B$125,$C433)))*('Category Rules'!$B$6:$B$125&lt;&gt;"")),'Category Rules'!$C$6:$C$125),"Uncategorized"))</f>
        <v/>
      </c>
      <c r="F433" s="108" t="n"/>
      <c r="G433" s="103">
        <f>IF($C433="","",IF($F433&lt;&gt;"",$F433,$E433))</f>
        <v/>
      </c>
      <c r="H433" s="85">
        <f>IF($B433="","",TEXT($B433,"mmm yyyy"))</f>
        <v/>
      </c>
    </row>
    <row r="434" ht="18" customHeight="1">
      <c r="A434" s="10" t="n"/>
      <c r="B434" s="98" t="inlineStr">
        <is>
          <t>2026-03-21</t>
        </is>
      </c>
      <c r="C434" s="99" t="inlineStr">
        <is>
          <t>CHICK-FIL-A #04457</t>
        </is>
      </c>
      <c r="D434" s="100" t="n">
        <v>11.72</v>
      </c>
      <c r="E434" s="104">
        <f>IF($C434="","",IFERROR(LOOKUP(2,1/((ISNUMBER(SEARCH('Category Rules'!$B$6:$B$125,$C434)))*('Category Rules'!$B$6:$B$125&lt;&gt;"")),'Category Rules'!$C$6:$C$125),"Uncategorized"))</f>
        <v/>
      </c>
      <c r="F434" s="108" t="n"/>
      <c r="G434" s="106">
        <f>IF($C434="","",IF($F434&lt;&gt;"",$F434,$E434))</f>
        <v/>
      </c>
      <c r="H434" s="82">
        <f>IF($B434="","",TEXT($B434,"mmm yyyy"))</f>
        <v/>
      </c>
    </row>
    <row r="435" ht="18" customHeight="1">
      <c r="A435" s="14" t="n"/>
      <c r="B435" s="98" t="inlineStr">
        <is>
          <t>2026-03-21</t>
        </is>
      </c>
      <c r="C435" s="99" t="inlineStr">
        <is>
          <t>MCDONALD'S F6920</t>
        </is>
      </c>
      <c r="D435" s="100" t="n">
        <v>8.779999999999999</v>
      </c>
      <c r="E435" s="101">
        <f>IF($C435="","",IFERROR(LOOKUP(2,1/((ISNUMBER(SEARCH('Category Rules'!$B$6:$B$125,$C435)))*('Category Rules'!$B$6:$B$125&lt;&gt;"")),'Category Rules'!$C$6:$C$125),"Uncategorized"))</f>
        <v/>
      </c>
      <c r="F435" s="108" t="n"/>
      <c r="G435" s="103">
        <f>IF($C435="","",IF($F435&lt;&gt;"",$F435,$E435))</f>
        <v/>
      </c>
      <c r="H435" s="85">
        <f>IF($B435="","",TEXT($B435,"mmm yyyy"))</f>
        <v/>
      </c>
    </row>
    <row r="436" ht="18" customHeight="1">
      <c r="A436" s="10" t="n"/>
      <c r="B436" s="98" t="inlineStr">
        <is>
          <t>2026-03-21</t>
        </is>
      </c>
      <c r="C436" s="99" t="inlineStr">
        <is>
          <t>WHATABURGER 1492</t>
        </is>
      </c>
      <c r="D436" s="100" t="n">
        <v>16.49</v>
      </c>
      <c r="E436" s="104">
        <f>IF($C436="","",IFERROR(LOOKUP(2,1/((ISNUMBER(SEARCH('Category Rules'!$B$6:$B$125,$C436)))*('Category Rules'!$B$6:$B$125&lt;&gt;"")),'Category Rules'!$C$6:$C$125),"Uncategorized"))</f>
        <v/>
      </c>
      <c r="F436" s="108" t="n"/>
      <c r="G436" s="106">
        <f>IF($C436="","",IF($F436&lt;&gt;"",$F436,$E436))</f>
        <v/>
      </c>
      <c r="H436" s="82">
        <f>IF($B436="","",TEXT($B436,"mmm yyyy"))</f>
        <v/>
      </c>
    </row>
    <row r="437" ht="18" customHeight="1">
      <c r="A437" s="14" t="n"/>
      <c r="B437" s="98" t="inlineStr">
        <is>
          <t>2026-03-21</t>
        </is>
      </c>
      <c r="C437" s="99" t="inlineStr">
        <is>
          <t>JEFFERSONS JACKSONVILL</t>
        </is>
      </c>
      <c r="D437" s="100" t="n">
        <v>40.69</v>
      </c>
      <c r="E437" s="101">
        <f>IF($C437="","",IFERROR(LOOKUP(2,1/((ISNUMBER(SEARCH('Category Rules'!$B$6:$B$125,$C437)))*('Category Rules'!$B$6:$B$125&lt;&gt;"")),'Category Rules'!$C$6:$C$125),"Uncategorized"))</f>
        <v/>
      </c>
      <c r="F437" s="108" t="n"/>
      <c r="G437" s="103">
        <f>IF($C437="","",IF($F437&lt;&gt;"",$F437,$E437))</f>
        <v/>
      </c>
      <c r="H437" s="85">
        <f>IF($B437="","",TEXT($B437,"mmm yyyy"))</f>
        <v/>
      </c>
    </row>
    <row r="438" ht="18" customHeight="1">
      <c r="A438" s="10" t="n"/>
      <c r="B438" s="98" t="inlineStr">
        <is>
          <t>2026-03-21</t>
        </is>
      </c>
      <c r="C438" s="99" t="inlineStr">
        <is>
          <t>TST* ROCK N ROOSTER SA</t>
        </is>
      </c>
      <c r="D438" s="100" t="n">
        <v>40.31</v>
      </c>
      <c r="E438" s="104">
        <f>IF($C438="","",IFERROR(LOOKUP(2,1/((ISNUMBER(SEARCH('Category Rules'!$B$6:$B$125,$C438)))*('Category Rules'!$B$6:$B$125&lt;&gt;"")),'Category Rules'!$C$6:$C$125),"Uncategorized"))</f>
        <v/>
      </c>
      <c r="F438" s="108" t="n"/>
      <c r="G438" s="106">
        <f>IF($C438="","",IF($F438&lt;&gt;"",$F438,$E438))</f>
        <v/>
      </c>
      <c r="H438" s="82">
        <f>IF($B438="","",TEXT($B438,"mmm yyyy"))</f>
        <v/>
      </c>
    </row>
    <row r="439" ht="18" customHeight="1">
      <c r="A439" s="14" t="n"/>
      <c r="B439" s="98" t="inlineStr">
        <is>
          <t>2026-03-22</t>
        </is>
      </c>
      <c r="C439" s="99" t="inlineStr">
        <is>
          <t>PIC'N SAVE #248</t>
        </is>
      </c>
      <c r="D439" s="100" t="n">
        <v>2.29</v>
      </c>
      <c r="E439" s="101">
        <f>IF($C439="","",IFERROR(LOOKUP(2,1/((ISNUMBER(SEARCH('Category Rules'!$B$6:$B$125,$C439)))*('Category Rules'!$B$6:$B$125&lt;&gt;"")),'Category Rules'!$C$6:$C$125),"Uncategorized"))</f>
        <v/>
      </c>
      <c r="F439" s="108" t="n"/>
      <c r="G439" s="103">
        <f>IF($C439="","",IF($F439&lt;&gt;"",$F439,$E439))</f>
        <v/>
      </c>
      <c r="H439" s="85">
        <f>IF($B439="","",TEXT($B439,"mmm yyyy"))</f>
        <v/>
      </c>
    </row>
    <row r="440" ht="18" customHeight="1">
      <c r="A440" s="10" t="n"/>
      <c r="B440" s="98" t="inlineStr">
        <is>
          <t>2026-03-22</t>
        </is>
      </c>
      <c r="C440" s="99" t="inlineStr">
        <is>
          <t>STATE FARM INSURANCE</t>
        </is>
      </c>
      <c r="D440" s="100" t="n">
        <v>79.33</v>
      </c>
      <c r="E440" s="104">
        <f>IF($C440="","",IFERROR(LOOKUP(2,1/((ISNUMBER(SEARCH('Category Rules'!$B$6:$B$125,$C440)))*('Category Rules'!$B$6:$B$125&lt;&gt;"")),'Category Rules'!$C$6:$C$125),"Uncategorized"))</f>
        <v/>
      </c>
      <c r="F440" s="108" t="n"/>
      <c r="G440" s="106">
        <f>IF($C440="","",IF($F440&lt;&gt;"",$F440,$E440))</f>
        <v/>
      </c>
      <c r="H440" s="82">
        <f>IF($B440="","",TEXT($B440,"mmm yyyy"))</f>
        <v/>
      </c>
    </row>
    <row r="441" ht="18" customHeight="1">
      <c r="A441" s="14" t="n"/>
      <c r="B441" s="98" t="inlineStr">
        <is>
          <t>2026-03-22</t>
        </is>
      </c>
      <c r="C441" s="99" t="inlineStr">
        <is>
          <t>STATE FARM INSURANCE</t>
        </is>
      </c>
      <c r="D441" s="100" t="n">
        <v>189.92</v>
      </c>
      <c r="E441" s="101">
        <f>IF($C441="","",IFERROR(LOOKUP(2,1/((ISNUMBER(SEARCH('Category Rules'!$B$6:$B$125,$C441)))*('Category Rules'!$B$6:$B$125&lt;&gt;"")),'Category Rules'!$C$6:$C$125),"Uncategorized"))</f>
        <v/>
      </c>
      <c r="F441" s="108" t="n"/>
      <c r="G441" s="103">
        <f>IF($C441="","",IF($F441&lt;&gt;"",$F441,$E441))</f>
        <v/>
      </c>
      <c r="H441" s="85">
        <f>IF($B441="","",TEXT($B441,"mmm yyyy"))</f>
        <v/>
      </c>
    </row>
    <row r="442" ht="18" customHeight="1">
      <c r="A442" s="10" t="n"/>
      <c r="B442" s="98" t="inlineStr">
        <is>
          <t>2026-03-22</t>
        </is>
      </c>
      <c r="C442" s="99" t="inlineStr">
        <is>
          <t>CHICK-FIL-A #04457</t>
        </is>
      </c>
      <c r="D442" s="100" t="n">
        <v>23.53</v>
      </c>
      <c r="E442" s="104">
        <f>IF($C442="","",IFERROR(LOOKUP(2,1/((ISNUMBER(SEARCH('Category Rules'!$B$6:$B$125,$C442)))*('Category Rules'!$B$6:$B$125&lt;&gt;"")),'Category Rules'!$C$6:$C$125),"Uncategorized"))</f>
        <v/>
      </c>
      <c r="F442" s="108" t="n"/>
      <c r="G442" s="106">
        <f>IF($C442="","",IF($F442&lt;&gt;"",$F442,$E442))</f>
        <v/>
      </c>
      <c r="H442" s="82">
        <f>IF($B442="","",TEXT($B442,"mmm yyyy"))</f>
        <v/>
      </c>
    </row>
    <row r="443" ht="18" customHeight="1">
      <c r="A443" s="14" t="n"/>
      <c r="B443" s="98" t="inlineStr">
        <is>
          <t>2026-03-23</t>
        </is>
      </c>
      <c r="C443" s="99" t="inlineStr">
        <is>
          <t>SITE356853- CHE</t>
        </is>
      </c>
      <c r="D443" s="100" t="n">
        <v>30</v>
      </c>
      <c r="E443" s="101">
        <f>IF($C443="","",IFERROR(LOOKUP(2,1/((ISNUMBER(SEARCH('Category Rules'!$B$6:$B$125,$C443)))*('Category Rules'!$B$6:$B$125&lt;&gt;"")),'Category Rules'!$C$6:$C$125),"Uncategorized"))</f>
        <v/>
      </c>
      <c r="F443" s="108" t="n"/>
      <c r="G443" s="103">
        <f>IF($C443="","",IF($F443&lt;&gt;"",$F443,$E443))</f>
        <v/>
      </c>
      <c r="H443" s="85">
        <f>IF($B443="","",TEXT($B443,"mmm yyyy"))</f>
        <v/>
      </c>
    </row>
    <row r="444" ht="18" customHeight="1">
      <c r="A444" s="10" t="n"/>
      <c r="B444" s="98" t="inlineStr">
        <is>
          <t>2026-03-23</t>
        </is>
      </c>
      <c r="C444" s="99" t="inlineStr">
        <is>
          <t>PIC'N SAVE #248</t>
        </is>
      </c>
      <c r="D444" s="100" t="n">
        <v>2.97</v>
      </c>
      <c r="E444" s="104">
        <f>IF($C444="","",IFERROR(LOOKUP(2,1/((ISNUMBER(SEARCH('Category Rules'!$B$6:$B$125,$C444)))*('Category Rules'!$B$6:$B$125&lt;&gt;"")),'Category Rules'!$C$6:$C$125),"Uncategorized"))</f>
        <v/>
      </c>
      <c r="F444" s="108" t="n"/>
      <c r="G444" s="106">
        <f>IF($C444="","",IF($F444&lt;&gt;"",$F444,$E444))</f>
        <v/>
      </c>
      <c r="H444" s="82">
        <f>IF($B444="","",TEXT($B444,"mmm yyyy"))</f>
        <v/>
      </c>
    </row>
    <row r="445" ht="18" customHeight="1">
      <c r="A445" s="14" t="n"/>
      <c r="B445" s="98" t="inlineStr">
        <is>
          <t>2026-03-23</t>
        </is>
      </c>
      <c r="C445" s="99" t="inlineStr">
        <is>
          <t>PIC'N SAVE #248</t>
        </is>
      </c>
      <c r="D445" s="100" t="n">
        <v>6.52</v>
      </c>
      <c r="E445" s="101">
        <f>IF($C445="","",IFERROR(LOOKUP(2,1/((ISNUMBER(SEARCH('Category Rules'!$B$6:$B$125,$C445)))*('Category Rules'!$B$6:$B$125&lt;&gt;"")),'Category Rules'!$C$6:$C$125),"Uncategorized"))</f>
        <v/>
      </c>
      <c r="F445" s="108" t="n"/>
      <c r="G445" s="103">
        <f>IF($C445="","",IF($F445&lt;&gt;"",$F445,$E445))</f>
        <v/>
      </c>
      <c r="H445" s="85">
        <f>IF($B445="","",TEXT($B445,"mmm yyyy"))</f>
        <v/>
      </c>
    </row>
    <row r="446" ht="18" customHeight="1">
      <c r="A446" s="10" t="n"/>
      <c r="B446" s="98" t="inlineStr">
        <is>
          <t>2026-03-23</t>
        </is>
      </c>
      <c r="C446" s="99" t="inlineStr">
        <is>
          <t>PIC'N SAVE #248</t>
        </is>
      </c>
      <c r="D446" s="100" t="n">
        <v>2.29</v>
      </c>
      <c r="E446" s="104">
        <f>IF($C446="","",IFERROR(LOOKUP(2,1/((ISNUMBER(SEARCH('Category Rules'!$B$6:$B$125,$C446)))*('Category Rules'!$B$6:$B$125&lt;&gt;"")),'Category Rules'!$C$6:$C$125),"Uncategorized"))</f>
        <v/>
      </c>
      <c r="F446" s="108" t="n"/>
      <c r="G446" s="106">
        <f>IF($C446="","",IF($F446&lt;&gt;"",$F446,$E446))</f>
        <v/>
      </c>
      <c r="H446" s="82">
        <f>IF($B446="","",TEXT($B446,"mmm yyyy"))</f>
        <v/>
      </c>
    </row>
    <row r="447" ht="18" customHeight="1">
      <c r="A447" s="14" t="n"/>
      <c r="B447" s="98" t="inlineStr">
        <is>
          <t>2026-03-23</t>
        </is>
      </c>
      <c r="C447" s="99" t="inlineStr">
        <is>
          <t>JACK'S #156 HEFLIN</t>
        </is>
      </c>
      <c r="D447" s="100" t="n">
        <v>7.28</v>
      </c>
      <c r="E447" s="101">
        <f>IF($C447="","",IFERROR(LOOKUP(2,1/((ISNUMBER(SEARCH('Category Rules'!$B$6:$B$125,$C447)))*('Category Rules'!$B$6:$B$125&lt;&gt;"")),'Category Rules'!$C$6:$C$125),"Uncategorized"))</f>
        <v/>
      </c>
      <c r="F447" s="108" t="n"/>
      <c r="G447" s="103">
        <f>IF($C447="","",IF($F447&lt;&gt;"",$F447,$E447))</f>
        <v/>
      </c>
      <c r="H447" s="85">
        <f>IF($B447="","",TEXT($B447,"mmm yyyy"))</f>
        <v/>
      </c>
    </row>
    <row r="448" ht="18" customHeight="1">
      <c r="A448" s="10" t="n"/>
      <c r="B448" s="98" t="inlineStr">
        <is>
          <t>2026-03-23</t>
        </is>
      </c>
      <c r="C448" s="99" t="inlineStr">
        <is>
          <t>JACK'S #200</t>
        </is>
      </c>
      <c r="D448" s="100" t="n">
        <v>10.99</v>
      </c>
      <c r="E448" s="104">
        <f>IF($C448="","",IFERROR(LOOKUP(2,1/((ISNUMBER(SEARCH('Category Rules'!$B$6:$B$125,$C448)))*('Category Rules'!$B$6:$B$125&lt;&gt;"")),'Category Rules'!$C$6:$C$125),"Uncategorized"))</f>
        <v/>
      </c>
      <c r="F448" s="108" t="n"/>
      <c r="G448" s="106">
        <f>IF($C448="","",IF($F448&lt;&gt;"",$F448,$E448))</f>
        <v/>
      </c>
      <c r="H448" s="82">
        <f>IF($B448="","",TEXT($B448,"mmm yyyy"))</f>
        <v/>
      </c>
    </row>
    <row r="449" ht="18" customHeight="1">
      <c r="A449" s="14" t="n"/>
      <c r="B449" s="98" t="inlineStr">
        <is>
          <t>2026-03-23</t>
        </is>
      </c>
      <c r="C449" s="99" t="inlineStr">
        <is>
          <t>LOWES</t>
        </is>
      </c>
      <c r="D449" s="100" t="n">
        <v>277.14</v>
      </c>
      <c r="E449" s="101">
        <f>IF($C449="","",IFERROR(LOOKUP(2,1/((ISNUMBER(SEARCH('Category Rules'!$B$6:$B$125,$C449)))*('Category Rules'!$B$6:$B$125&lt;&gt;"")),'Category Rules'!$C$6:$C$125),"Uncategorized"))</f>
        <v/>
      </c>
      <c r="F449" s="108" t="n"/>
      <c r="G449" s="103">
        <f>IF($C449="","",IF($F449&lt;&gt;"",$F449,$E449))</f>
        <v/>
      </c>
      <c r="H449" s="85">
        <f>IF($B449="","",TEXT($B449,"mmm yyyy"))</f>
        <v/>
      </c>
    </row>
    <row r="450" ht="18" customHeight="1">
      <c r="A450" s="10" t="n"/>
      <c r="B450" s="98" t="inlineStr">
        <is>
          <t>2026-03-24</t>
        </is>
      </c>
      <c r="C450" s="99" t="inlineStr">
        <is>
          <t>MAPCO 5108 706 PELHAM R</t>
        </is>
      </c>
      <c r="D450" s="100" t="n">
        <v>79.67</v>
      </c>
      <c r="E450" s="104">
        <f>IF($C450="","",IFERROR(LOOKUP(2,1/((ISNUMBER(SEARCH('Category Rules'!$B$6:$B$125,$C450)))*('Category Rules'!$B$6:$B$125&lt;&gt;"")),'Category Rules'!$C$6:$C$125),"Uncategorized"))</f>
        <v/>
      </c>
      <c r="F450" s="108" t="n"/>
      <c r="G450" s="106">
        <f>IF($C450="","",IF($F450&lt;&gt;"",$F450,$E450))</f>
        <v/>
      </c>
      <c r="H450" s="82">
        <f>IF($B450="","",TEXT($B450,"mmm yyyy"))</f>
        <v/>
      </c>
    </row>
    <row r="451" ht="18" customHeight="1">
      <c r="A451" s="14" t="n"/>
      <c r="B451" s="98" t="inlineStr">
        <is>
          <t>2026-03-24</t>
        </is>
      </c>
      <c r="C451" s="99" t="inlineStr">
        <is>
          <t>W. M. GROCERY</t>
        </is>
      </c>
      <c r="D451" s="100" t="n">
        <v>2.15</v>
      </c>
      <c r="E451" s="101">
        <f>IF($C451="","",IFERROR(LOOKUP(2,1/((ISNUMBER(SEARCH('Category Rules'!$B$6:$B$125,$C451)))*('Category Rules'!$B$6:$B$125&lt;&gt;"")),'Category Rules'!$C$6:$C$125),"Uncategorized"))</f>
        <v/>
      </c>
      <c r="F451" s="108" t="n"/>
      <c r="G451" s="103">
        <f>IF($C451="","",IF($F451&lt;&gt;"",$F451,$E451))</f>
        <v/>
      </c>
      <c r="H451" s="85">
        <f>IF($B451="","",TEXT($B451,"mmm yyyy"))</f>
        <v/>
      </c>
    </row>
    <row r="452" ht="18" customHeight="1">
      <c r="A452" s="10" t="n"/>
      <c r="B452" s="98" t="inlineStr">
        <is>
          <t>2026-03-24</t>
        </is>
      </c>
      <c r="C452" s="99" t="inlineStr">
        <is>
          <t>I3P*ALAFILEALAPAY</t>
        </is>
      </c>
      <c r="D452" s="100" t="n">
        <v>198.64</v>
      </c>
      <c r="E452" s="104">
        <f>IF($C452="","",IFERROR(LOOKUP(2,1/((ISNUMBER(SEARCH('Category Rules'!$B$6:$B$125,$C452)))*('Category Rules'!$B$6:$B$125&lt;&gt;"")),'Category Rules'!$C$6:$C$125),"Uncategorized"))</f>
        <v/>
      </c>
      <c r="F452" s="108" t="n"/>
      <c r="G452" s="106">
        <f>IF($C452="","",IF($F452&lt;&gt;"",$F452,$E452))</f>
        <v/>
      </c>
      <c r="H452" s="82">
        <f>IF($B452="","",TEXT($B452,"mmm yyyy"))</f>
        <v/>
      </c>
    </row>
    <row r="453" ht="18" customHeight="1">
      <c r="A453" s="14" t="n"/>
      <c r="B453" s="98" t="inlineStr">
        <is>
          <t>2026-03-25</t>
        </is>
      </c>
      <c r="C453" s="99" t="inlineStr">
        <is>
          <t>ETA Driving School</t>
        </is>
      </c>
      <c r="D453" s="100" t="n">
        <v>37.72</v>
      </c>
      <c r="E453" s="101">
        <f>IF($C453="","",IFERROR(LOOKUP(2,1/((ISNUMBER(SEARCH('Category Rules'!$B$6:$B$125,$C453)))*('Category Rules'!$B$6:$B$125&lt;&gt;"")),'Category Rules'!$C$6:$C$125),"Uncategorized"))</f>
        <v/>
      </c>
      <c r="F453" s="108" t="n"/>
      <c r="G453" s="103">
        <f>IF($C453="","",IF($F453&lt;&gt;"",$F453,$E453))</f>
        <v/>
      </c>
      <c r="H453" s="85">
        <f>IF($B453="","",TEXT($B453,"mmm yyyy"))</f>
        <v/>
      </c>
    </row>
    <row r="454" ht="18" customHeight="1">
      <c r="A454" s="10" t="n"/>
      <c r="B454" s="98" t="inlineStr">
        <is>
          <t>2026-03-25</t>
        </is>
      </c>
      <c r="C454" s="99" t="inlineStr">
        <is>
          <t>MARATHON 235473</t>
        </is>
      </c>
      <c r="D454" s="100" t="n">
        <v>23.52</v>
      </c>
      <c r="E454" s="104">
        <f>IF($C454="","",IFERROR(LOOKUP(2,1/((ISNUMBER(SEARCH('Category Rules'!$B$6:$B$125,$C454)))*('Category Rules'!$B$6:$B$125&lt;&gt;"")),'Category Rules'!$C$6:$C$125),"Uncategorized"))</f>
        <v/>
      </c>
      <c r="F454" s="108" t="n"/>
      <c r="G454" s="106">
        <f>IF($C454="","",IF($F454&lt;&gt;"",$F454,$E454))</f>
        <v/>
      </c>
      <c r="H454" s="82">
        <f>IF($B454="","",TEXT($B454,"mmm yyyy"))</f>
        <v/>
      </c>
    </row>
    <row r="455" ht="18" customHeight="1">
      <c r="A455" s="14" t="n"/>
      <c r="B455" s="98" t="inlineStr">
        <is>
          <t>2026-03-26</t>
        </is>
      </c>
      <c r="C455" s="99" t="inlineStr">
        <is>
          <t>LOWE'S #2659</t>
        </is>
      </c>
      <c r="D455" s="100" t="n">
        <v>40.33</v>
      </c>
      <c r="E455" s="101">
        <f>IF($C455="","",IFERROR(LOOKUP(2,1/((ISNUMBER(SEARCH('Category Rules'!$B$6:$B$125,$C455)))*('Category Rules'!$B$6:$B$125&lt;&gt;"")),'Category Rules'!$C$6:$C$125),"Uncategorized"))</f>
        <v/>
      </c>
      <c r="F455" s="108" t="n"/>
      <c r="G455" s="103">
        <f>IF($C455="","",IF($F455&lt;&gt;"",$F455,$E455))</f>
        <v/>
      </c>
      <c r="H455" s="85">
        <f>IF($B455="","",TEXT($B455,"mmm yyyy"))</f>
        <v/>
      </c>
    </row>
    <row r="456" ht="18" customHeight="1">
      <c r="A456" s="10" t="n"/>
      <c r="B456" s="98" t="inlineStr">
        <is>
          <t>2026-03-26</t>
        </is>
      </c>
      <c r="C456" s="99" t="inlineStr">
        <is>
          <t>LOWE'S #2659</t>
        </is>
      </c>
      <c r="D456" s="100" t="n">
        <v>16.48</v>
      </c>
      <c r="E456" s="104">
        <f>IF($C456="","",IFERROR(LOOKUP(2,1/((ISNUMBER(SEARCH('Category Rules'!$B$6:$B$125,$C456)))*('Category Rules'!$B$6:$B$125&lt;&gt;"")),'Category Rules'!$C$6:$C$125),"Uncategorized"))</f>
        <v/>
      </c>
      <c r="F456" s="108" t="n"/>
      <c r="G456" s="106">
        <f>IF($C456="","",IF($F456&lt;&gt;"",$F456,$E456))</f>
        <v/>
      </c>
      <c r="H456" s="82">
        <f>IF($B456="","",TEXT($B456,"mmm yyyy"))</f>
        <v/>
      </c>
    </row>
    <row r="457" ht="18" customHeight="1">
      <c r="A457" s="14" t="n"/>
      <c r="B457" s="98" t="inlineStr">
        <is>
          <t>2026-03-26</t>
        </is>
      </c>
      <c r="C457" s="99" t="inlineStr">
        <is>
          <t>Harbor Freight Tools U</t>
        </is>
      </c>
      <c r="D457" s="100" t="n">
        <v>41.78</v>
      </c>
      <c r="E457" s="101">
        <f>IF($C457="","",IFERROR(LOOKUP(2,1/((ISNUMBER(SEARCH('Category Rules'!$B$6:$B$125,$C457)))*('Category Rules'!$B$6:$B$125&lt;&gt;"")),'Category Rules'!$C$6:$C$125),"Uncategorized"))</f>
        <v/>
      </c>
      <c r="F457" s="108" t="n"/>
      <c r="G457" s="103">
        <f>IF($C457="","",IF($F457&lt;&gt;"",$F457,$E457))</f>
        <v/>
      </c>
      <c r="H457" s="85">
        <f>IF($B457="","",TEXT($B457,"mmm yyyy"))</f>
        <v/>
      </c>
    </row>
    <row r="458" ht="18" customHeight="1">
      <c r="A458" s="10" t="n"/>
      <c r="B458" s="98" t="inlineStr">
        <is>
          <t>2026-03-26</t>
        </is>
      </c>
      <c r="C458" s="99" t="inlineStr">
        <is>
          <t>APPLE.COM/BILL</t>
        </is>
      </c>
      <c r="D458" s="100" t="n">
        <v>0.99</v>
      </c>
      <c r="E458" s="104">
        <f>IF($C458="","",IFERROR(LOOKUP(2,1/((ISNUMBER(SEARCH('Category Rules'!$B$6:$B$125,$C458)))*('Category Rules'!$B$6:$B$125&lt;&gt;"")),'Category Rules'!$C$6:$C$125),"Uncategorized"))</f>
        <v/>
      </c>
      <c r="F458" s="108" t="n"/>
      <c r="G458" s="106">
        <f>IF($C458="","",IF($F458&lt;&gt;"",$F458,$E458))</f>
        <v/>
      </c>
      <c r="H458" s="82">
        <f>IF($B458="","",TEXT($B458,"mmm yyyy"))</f>
        <v/>
      </c>
    </row>
    <row r="459" ht="18" customHeight="1">
      <c r="A459" s="14" t="n"/>
      <c r="B459" s="98" t="inlineStr">
        <is>
          <t>2026-03-27</t>
        </is>
      </c>
      <c r="C459" s="99" t="inlineStr">
        <is>
          <t>W. M. GROCERY</t>
        </is>
      </c>
      <c r="D459" s="100" t="n">
        <v>1.39</v>
      </c>
      <c r="E459" s="101">
        <f>IF($C459="","",IFERROR(LOOKUP(2,1/((ISNUMBER(SEARCH('Category Rules'!$B$6:$B$125,$C459)))*('Category Rules'!$B$6:$B$125&lt;&gt;"")),'Category Rules'!$C$6:$C$125),"Uncategorized"))</f>
        <v/>
      </c>
      <c r="F459" s="108" t="n"/>
      <c r="G459" s="103">
        <f>IF($C459="","",IF($F459&lt;&gt;"",$F459,$E459))</f>
        <v/>
      </c>
      <c r="H459" s="85">
        <f>IF($B459="","",TEXT($B459,"mmm yyyy"))</f>
        <v/>
      </c>
    </row>
    <row r="460" ht="18" customHeight="1">
      <c r="A460" s="10" t="n"/>
      <c r="B460" s="98" t="inlineStr">
        <is>
          <t>2026-03-27</t>
        </is>
      </c>
      <c r="C460" s="99" t="inlineStr">
        <is>
          <t>PIGGLY WIGGLY #</t>
        </is>
      </c>
      <c r="D460" s="100" t="n">
        <v>0.96</v>
      </c>
      <c r="E460" s="104">
        <f>IF($C460="","",IFERROR(LOOKUP(2,1/((ISNUMBER(SEARCH('Category Rules'!$B$6:$B$125,$C460)))*('Category Rules'!$B$6:$B$125&lt;&gt;"")),'Category Rules'!$C$6:$C$125),"Uncategorized"))</f>
        <v/>
      </c>
      <c r="F460" s="108" t="n"/>
      <c r="G460" s="106">
        <f>IF($C460="","",IF($F460&lt;&gt;"",$F460,$E460))</f>
        <v/>
      </c>
      <c r="H460" s="82">
        <f>IF($B460="","",TEXT($B460,"mmm yyyy"))</f>
        <v/>
      </c>
    </row>
    <row r="461" ht="18" customHeight="1">
      <c r="A461" s="14" t="n"/>
      <c r="B461" s="98" t="inlineStr">
        <is>
          <t>2026-03-27</t>
        </is>
      </c>
      <c r="C461" s="99" t="inlineStr">
        <is>
          <t>TST* ROCK N ROOSTER SA</t>
        </is>
      </c>
      <c r="D461" s="100" t="n">
        <v>19.15</v>
      </c>
      <c r="E461" s="101">
        <f>IF($C461="","",IFERROR(LOOKUP(2,1/((ISNUMBER(SEARCH('Category Rules'!$B$6:$B$125,$C461)))*('Category Rules'!$B$6:$B$125&lt;&gt;"")),'Category Rules'!$C$6:$C$125),"Uncategorized"))</f>
        <v/>
      </c>
      <c r="F461" s="108" t="n"/>
      <c r="G461" s="103">
        <f>IF($C461="","",IF($F461&lt;&gt;"",$F461,$E461))</f>
        <v/>
      </c>
      <c r="H461" s="85">
        <f>IF($B461="","",TEXT($B461,"mmm yyyy"))</f>
        <v/>
      </c>
    </row>
    <row r="462" ht="18" customHeight="1">
      <c r="A462" s="10" t="n"/>
      <c r="B462" s="98" t="inlineStr">
        <is>
          <t>2026-03-27</t>
        </is>
      </c>
      <c r="C462" s="99" t="inlineStr">
        <is>
          <t>TST* ROCK N ROOSTER SA</t>
        </is>
      </c>
      <c r="D462" s="100" t="n">
        <v>13.21</v>
      </c>
      <c r="E462" s="104">
        <f>IF($C462="","",IFERROR(LOOKUP(2,1/((ISNUMBER(SEARCH('Category Rules'!$B$6:$B$125,$C462)))*('Category Rules'!$B$6:$B$125&lt;&gt;"")),'Category Rules'!$C$6:$C$125),"Uncategorized"))</f>
        <v/>
      </c>
      <c r="F462" s="108" t="n"/>
      <c r="G462" s="106">
        <f>IF($C462="","",IF($F462&lt;&gt;"",$F462,$E462))</f>
        <v/>
      </c>
      <c r="H462" s="82">
        <f>IF($B462="","",TEXT($B462,"mmm yyyy"))</f>
        <v/>
      </c>
    </row>
    <row r="463" ht="18" customHeight="1">
      <c r="A463" s="14" t="n"/>
      <c r="B463" s="98" t="inlineStr">
        <is>
          <t>2026-03-27</t>
        </is>
      </c>
      <c r="C463" s="99" t="inlineStr">
        <is>
          <t>MCDONALD'S F6920</t>
        </is>
      </c>
      <c r="D463" s="100" t="n">
        <v>10.54</v>
      </c>
      <c r="E463" s="101">
        <f>IF($C463="","",IFERROR(LOOKUP(2,1/((ISNUMBER(SEARCH('Category Rules'!$B$6:$B$125,$C463)))*('Category Rules'!$B$6:$B$125&lt;&gt;"")),'Category Rules'!$C$6:$C$125),"Uncategorized"))</f>
        <v/>
      </c>
      <c r="F463" s="108" t="n"/>
      <c r="G463" s="103">
        <f>IF($C463="","",IF($F463&lt;&gt;"",$F463,$E463))</f>
        <v/>
      </c>
      <c r="H463" s="85">
        <f>IF($B463="","",TEXT($B463,"mmm yyyy"))</f>
        <v/>
      </c>
    </row>
    <row r="464" ht="18" customHeight="1">
      <c r="A464" s="10" t="n"/>
      <c r="B464" s="98" t="inlineStr">
        <is>
          <t>2026-03-27</t>
        </is>
      </c>
      <c r="C464" s="99" t="inlineStr">
        <is>
          <t>JACK'S #200</t>
        </is>
      </c>
      <c r="D464" s="100" t="n">
        <v>7.69</v>
      </c>
      <c r="E464" s="104">
        <f>IF($C464="","",IFERROR(LOOKUP(2,1/((ISNUMBER(SEARCH('Category Rules'!$B$6:$B$125,$C464)))*('Category Rules'!$B$6:$B$125&lt;&gt;"")),'Category Rules'!$C$6:$C$125),"Uncategorized"))</f>
        <v/>
      </c>
      <c r="F464" s="108" t="n"/>
      <c r="G464" s="106">
        <f>IF($C464="","",IF($F464&lt;&gt;"",$F464,$E464))</f>
        <v/>
      </c>
      <c r="H464" s="82">
        <f>IF($B464="","",TEXT($B464,"mmm yyyy"))</f>
        <v/>
      </c>
    </row>
    <row r="465" ht="18" customHeight="1">
      <c r="A465" s="14" t="n"/>
      <c r="B465" s="98" t="inlineStr">
        <is>
          <t>2026-03-28</t>
        </is>
      </c>
      <c r="C465" s="99" t="inlineStr">
        <is>
          <t>W. M. GROCERY</t>
        </is>
      </c>
      <c r="D465" s="100" t="n">
        <v>3.76</v>
      </c>
      <c r="E465" s="101">
        <f>IF($C465="","",IFERROR(LOOKUP(2,1/((ISNUMBER(SEARCH('Category Rules'!$B$6:$B$125,$C465)))*('Category Rules'!$B$6:$B$125&lt;&gt;"")),'Category Rules'!$C$6:$C$125),"Uncategorized"))</f>
        <v/>
      </c>
      <c r="F465" s="108" t="n"/>
      <c r="G465" s="103">
        <f>IF($C465="","",IF($F465&lt;&gt;"",$F465,$E465))</f>
        <v/>
      </c>
      <c r="H465" s="85">
        <f>IF($B465="","",TEXT($B465,"mmm yyyy"))</f>
        <v/>
      </c>
    </row>
    <row r="466" ht="18" customHeight="1">
      <c r="A466" s="10" t="n"/>
      <c r="B466" s="98" t="inlineStr">
        <is>
          <t>2026-03-28</t>
        </is>
      </c>
      <c r="C466" s="99" t="inlineStr">
        <is>
          <t>SQ *JASMYNE TURNER</t>
        </is>
      </c>
      <c r="D466" s="100" t="n">
        <v>30</v>
      </c>
      <c r="E466" s="104">
        <f>IF($C466="","",IFERROR(LOOKUP(2,1/((ISNUMBER(SEARCH('Category Rules'!$B$6:$B$125,$C466)))*('Category Rules'!$B$6:$B$125&lt;&gt;"")),'Category Rules'!$C$6:$C$125),"Uncategorized"))</f>
        <v/>
      </c>
      <c r="F466" s="108" t="n"/>
      <c r="G466" s="106">
        <f>IF($C466="","",IF($F466&lt;&gt;"",$F466,$E466))</f>
        <v/>
      </c>
      <c r="H466" s="82">
        <f>IF($B466="","",TEXT($B466,"mmm yyyy"))</f>
        <v/>
      </c>
    </row>
    <row r="467" ht="18" customHeight="1">
      <c r="A467" s="14" t="n"/>
      <c r="B467" s="98" t="inlineStr">
        <is>
          <t>2026-03-28</t>
        </is>
      </c>
      <c r="C467" s="99" t="inlineStr">
        <is>
          <t>MCDONALD'S F6920</t>
        </is>
      </c>
      <c r="D467" s="100" t="n">
        <v>17.58</v>
      </c>
      <c r="E467" s="101">
        <f>IF($C467="","",IFERROR(LOOKUP(2,1/((ISNUMBER(SEARCH('Category Rules'!$B$6:$B$125,$C467)))*('Category Rules'!$B$6:$B$125&lt;&gt;"")),'Category Rules'!$C$6:$C$125),"Uncategorized"))</f>
        <v/>
      </c>
      <c r="F467" s="108" t="n"/>
      <c r="G467" s="103">
        <f>IF($C467="","",IF($F467&lt;&gt;"",$F467,$E467))</f>
        <v/>
      </c>
      <c r="H467" s="85">
        <f>IF($B467="","",TEXT($B467,"mmm yyyy"))</f>
        <v/>
      </c>
    </row>
    <row r="468" ht="18" customHeight="1">
      <c r="A468" s="10" t="n"/>
      <c r="B468" s="98" t="inlineStr">
        <is>
          <t>2026-03-28</t>
        </is>
      </c>
      <c r="C468" s="99" t="inlineStr">
        <is>
          <t>TST* ROCK N ROOSTER SA</t>
        </is>
      </c>
      <c r="D468" s="100" t="n">
        <v>58.46</v>
      </c>
      <c r="E468" s="104">
        <f>IF($C468="","",IFERROR(LOOKUP(2,1/((ISNUMBER(SEARCH('Category Rules'!$B$6:$B$125,$C468)))*('Category Rules'!$B$6:$B$125&lt;&gt;"")),'Category Rules'!$C$6:$C$125),"Uncategorized"))</f>
        <v/>
      </c>
      <c r="F468" s="108" t="n"/>
      <c r="G468" s="106">
        <f>IF($C468="","",IF($F468&lt;&gt;"",$F468,$E468))</f>
        <v/>
      </c>
      <c r="H468" s="82">
        <f>IF($B468="","",TEXT($B468,"mmm yyyy"))</f>
        <v/>
      </c>
    </row>
    <row r="469" ht="18" customHeight="1">
      <c r="A469" s="14" t="n"/>
      <c r="B469" s="98" t="inlineStr">
        <is>
          <t>2026-03-28</t>
        </is>
      </c>
      <c r="C469" s="99" t="inlineStr">
        <is>
          <t>TST* ROCK N ROOSTER SA</t>
        </is>
      </c>
      <c r="D469" s="100" t="n">
        <v>5.4</v>
      </c>
      <c r="E469" s="101">
        <f>IF($C469="","",IFERROR(LOOKUP(2,1/((ISNUMBER(SEARCH('Category Rules'!$B$6:$B$125,$C469)))*('Category Rules'!$B$6:$B$125&lt;&gt;"")),'Category Rules'!$C$6:$C$125),"Uncategorized"))</f>
        <v/>
      </c>
      <c r="F469" s="108" t="n"/>
      <c r="G469" s="103">
        <f>IF($C469="","",IF($F469&lt;&gt;"",$F469,$E469))</f>
        <v/>
      </c>
      <c r="H469" s="85">
        <f>IF($B469="","",TEXT($B469,"mmm yyyy"))</f>
        <v/>
      </c>
    </row>
    <row r="470" ht="18" customHeight="1">
      <c r="A470" s="10" t="n"/>
      <c r="B470" s="98" t="inlineStr">
        <is>
          <t>2026-03-28</t>
        </is>
      </c>
      <c r="C470" s="99" t="inlineStr">
        <is>
          <t>JEFFERSONS JACKSONVILL</t>
        </is>
      </c>
      <c r="D470" s="100" t="n">
        <v>27.19</v>
      </c>
      <c r="E470" s="104">
        <f>IF($C470="","",IFERROR(LOOKUP(2,1/((ISNUMBER(SEARCH('Category Rules'!$B$6:$B$125,$C470)))*('Category Rules'!$B$6:$B$125&lt;&gt;"")),'Category Rules'!$C$6:$C$125),"Uncategorized"))</f>
        <v/>
      </c>
      <c r="F470" s="108" t="n"/>
      <c r="G470" s="106">
        <f>IF($C470="","",IF($F470&lt;&gt;"",$F470,$E470))</f>
        <v/>
      </c>
      <c r="H470" s="82">
        <f>IF($B470="","",TEXT($B470,"mmm yyyy"))</f>
        <v/>
      </c>
    </row>
    <row r="471" ht="18" customHeight="1">
      <c r="A471" s="14" t="n"/>
      <c r="B471" s="98" t="inlineStr">
        <is>
          <t>2026-03-28</t>
        </is>
      </c>
      <c r="C471" s="99" t="inlineStr">
        <is>
          <t>WHATABURGER 1492</t>
        </is>
      </c>
      <c r="D471" s="100" t="n">
        <v>16.49</v>
      </c>
      <c r="E471" s="101">
        <f>IF($C471="","",IFERROR(LOOKUP(2,1/((ISNUMBER(SEARCH('Category Rules'!$B$6:$B$125,$C471)))*('Category Rules'!$B$6:$B$125&lt;&gt;"")),'Category Rules'!$C$6:$C$125),"Uncategorized"))</f>
        <v/>
      </c>
      <c r="F471" s="108" t="n"/>
      <c r="G471" s="103">
        <f>IF($C471="","",IF($F471&lt;&gt;"",$F471,$E471))</f>
        <v/>
      </c>
      <c r="H471" s="85">
        <f>IF($B471="","",TEXT($B471,"mmm yyyy"))</f>
        <v/>
      </c>
    </row>
    <row r="472" ht="18" customHeight="1">
      <c r="A472" s="10" t="n"/>
      <c r="B472" s="98" t="inlineStr">
        <is>
          <t>2026-03-28</t>
        </is>
      </c>
      <c r="C472" s="99" t="inlineStr">
        <is>
          <t>LITTLE CAESARS 3412005</t>
        </is>
      </c>
      <c r="D472" s="100" t="n">
        <v>7.48</v>
      </c>
      <c r="E472" s="104">
        <f>IF($C472="","",IFERROR(LOOKUP(2,1/((ISNUMBER(SEARCH('Category Rules'!$B$6:$B$125,$C472)))*('Category Rules'!$B$6:$B$125&lt;&gt;"")),'Category Rules'!$C$6:$C$125),"Uncategorized"))</f>
        <v/>
      </c>
      <c r="F472" s="108" t="n"/>
      <c r="G472" s="106">
        <f>IF($C472="","",IF($F472&lt;&gt;"",$F472,$E472))</f>
        <v/>
      </c>
      <c r="H472" s="82">
        <f>IF($B472="","",TEXT($B472,"mmm yyyy"))</f>
        <v/>
      </c>
    </row>
    <row r="473" ht="18" customHeight="1">
      <c r="A473" s="14" t="n"/>
      <c r="B473" s="98" t="inlineStr">
        <is>
          <t>2026-03-29</t>
        </is>
      </c>
      <c r="C473" s="99" t="inlineStr">
        <is>
          <t>AOC FOOD MART 17</t>
        </is>
      </c>
      <c r="D473" s="100" t="n">
        <v>86.04000000000001</v>
      </c>
      <c r="E473" s="101">
        <f>IF($C473="","",IFERROR(LOOKUP(2,1/((ISNUMBER(SEARCH('Category Rules'!$B$6:$B$125,$C473)))*('Category Rules'!$B$6:$B$125&lt;&gt;"")),'Category Rules'!$C$6:$C$125),"Uncategorized"))</f>
        <v/>
      </c>
      <c r="F473" s="108" t="n"/>
      <c r="G473" s="103">
        <f>IF($C473="","",IF($F473&lt;&gt;"",$F473,$E473))</f>
        <v/>
      </c>
      <c r="H473" s="85">
        <f>IF($B473="","",TEXT($B473,"mmm yyyy"))</f>
        <v/>
      </c>
    </row>
    <row r="474" ht="18" customHeight="1">
      <c r="A474" s="10" t="n"/>
      <c r="B474" s="98" t="inlineStr">
        <is>
          <t>2026-03-29</t>
        </is>
      </c>
      <c r="C474" s="99" t="inlineStr">
        <is>
          <t>PIC'N SAVE #248</t>
        </is>
      </c>
      <c r="D474" s="100" t="n">
        <v>10.13</v>
      </c>
      <c r="E474" s="104">
        <f>IF($C474="","",IFERROR(LOOKUP(2,1/((ISNUMBER(SEARCH('Category Rules'!$B$6:$B$125,$C474)))*('Category Rules'!$B$6:$B$125&lt;&gt;"")),'Category Rules'!$C$6:$C$125),"Uncategorized"))</f>
        <v/>
      </c>
      <c r="F474" s="108" t="n"/>
      <c r="G474" s="106">
        <f>IF($C474="","",IF($F474&lt;&gt;"",$F474,$E474))</f>
        <v/>
      </c>
      <c r="H474" s="82">
        <f>IF($B474="","",TEXT($B474,"mmm yyyy"))</f>
        <v/>
      </c>
    </row>
    <row r="475" ht="18" customHeight="1">
      <c r="A475" s="14" t="n"/>
      <c r="B475" s="98" t="inlineStr">
        <is>
          <t>2026-03-29</t>
        </is>
      </c>
      <c r="C475" s="99" t="inlineStr">
        <is>
          <t>PIC'N SAVE #248</t>
        </is>
      </c>
      <c r="D475" s="100" t="n">
        <v>2.56</v>
      </c>
      <c r="E475" s="101">
        <f>IF($C475="","",IFERROR(LOOKUP(2,1/((ISNUMBER(SEARCH('Category Rules'!$B$6:$B$125,$C475)))*('Category Rules'!$B$6:$B$125&lt;&gt;"")),'Category Rules'!$C$6:$C$125),"Uncategorized"))</f>
        <v/>
      </c>
      <c r="F475" s="108" t="n"/>
      <c r="G475" s="103">
        <f>IF($C475="","",IF($F475&lt;&gt;"",$F475,$E475))</f>
        <v/>
      </c>
      <c r="H475" s="85">
        <f>IF($B475="","",TEXT($B475,"mmm yyyy"))</f>
        <v/>
      </c>
    </row>
    <row r="476" ht="18" customHeight="1">
      <c r="A476" s="10" t="n"/>
      <c r="B476" s="98" t="inlineStr">
        <is>
          <t>2026-03-29</t>
        </is>
      </c>
      <c r="C476" s="99" t="inlineStr">
        <is>
          <t>JACK'S #245</t>
        </is>
      </c>
      <c r="D476" s="100" t="n">
        <v>10.99</v>
      </c>
      <c r="E476" s="104">
        <f>IF($C476="","",IFERROR(LOOKUP(2,1/((ISNUMBER(SEARCH('Category Rules'!$B$6:$B$125,$C476)))*('Category Rules'!$B$6:$B$125&lt;&gt;"")),'Category Rules'!$C$6:$C$125),"Uncategorized"))</f>
        <v/>
      </c>
      <c r="F476" s="108" t="n"/>
      <c r="G476" s="106">
        <f>IF($C476="","",IF($F476&lt;&gt;"",$F476,$E476))</f>
        <v/>
      </c>
      <c r="H476" s="82">
        <f>IF($B476="","",TEXT($B476,"mmm yyyy"))</f>
        <v/>
      </c>
    </row>
    <row r="477" ht="18" customHeight="1">
      <c r="A477" s="14" t="n"/>
      <c r="B477" s="98" t="inlineStr">
        <is>
          <t>2026-03-30</t>
        </is>
      </c>
      <c r="C477" s="99" t="inlineStr">
        <is>
          <t>JACK'S #200</t>
        </is>
      </c>
      <c r="D477" s="100" t="n">
        <v>7.14</v>
      </c>
      <c r="E477" s="101">
        <f>IF($C477="","",IFERROR(LOOKUP(2,1/((ISNUMBER(SEARCH('Category Rules'!$B$6:$B$125,$C477)))*('Category Rules'!$B$6:$B$125&lt;&gt;"")),'Category Rules'!$C$6:$C$125),"Uncategorized"))</f>
        <v/>
      </c>
      <c r="F477" s="108" t="n"/>
      <c r="G477" s="103">
        <f>IF($C477="","",IF($F477&lt;&gt;"",$F477,$E477))</f>
        <v/>
      </c>
      <c r="H477" s="85">
        <f>IF($B477="","",TEXT($B477,"mmm yyyy"))</f>
        <v/>
      </c>
    </row>
    <row r="478" ht="18" customHeight="1">
      <c r="A478" s="10" t="n"/>
      <c r="B478" s="98" t="inlineStr">
        <is>
          <t>2026-03-30</t>
        </is>
      </c>
      <c r="C478" s="99" t="inlineStr">
        <is>
          <t>JACK'S #200</t>
        </is>
      </c>
      <c r="D478" s="100" t="n">
        <v>10.99</v>
      </c>
      <c r="E478" s="104">
        <f>IF($C478="","",IFERROR(LOOKUP(2,1/((ISNUMBER(SEARCH('Category Rules'!$B$6:$B$125,$C478)))*('Category Rules'!$B$6:$B$125&lt;&gt;"")),'Category Rules'!$C$6:$C$125),"Uncategorized"))</f>
        <v/>
      </c>
      <c r="F478" s="108" t="n"/>
      <c r="G478" s="106">
        <f>IF($C478="","",IF($F478&lt;&gt;"",$F478,$E478))</f>
        <v/>
      </c>
      <c r="H478" s="82">
        <f>IF($B478="","",TEXT($B478,"mmm yyyy"))</f>
        <v/>
      </c>
    </row>
    <row r="479" ht="18" customHeight="1">
      <c r="A479" s="14" t="n"/>
      <c r="B479" s="98" t="inlineStr">
        <is>
          <t>2026-03-31</t>
        </is>
      </c>
      <c r="C479" s="99" t="inlineStr">
        <is>
          <t>DORSEY'S SUPERM</t>
        </is>
      </c>
      <c r="D479" s="100" t="n">
        <v>17.82</v>
      </c>
      <c r="E479" s="101">
        <f>IF($C479="","",IFERROR(LOOKUP(2,1/((ISNUMBER(SEARCH('Category Rules'!$B$6:$B$125,$C479)))*('Category Rules'!$B$6:$B$125&lt;&gt;"")),'Category Rules'!$C$6:$C$125),"Uncategorized"))</f>
        <v/>
      </c>
      <c r="F479" s="108" t="n"/>
      <c r="G479" s="103">
        <f>IF($C479="","",IF($F479&lt;&gt;"",$F479,$E479))</f>
        <v/>
      </c>
      <c r="H479" s="85">
        <f>IF($B479="","",TEXT($B479,"mmm yyyy"))</f>
        <v/>
      </c>
    </row>
    <row r="480" ht="18" customHeight="1">
      <c r="A480" s="10" t="n"/>
      <c r="B480" s="98" t="inlineStr">
        <is>
          <t>2026-03-31</t>
        </is>
      </c>
      <c r="C480" s="99" t="inlineStr">
        <is>
          <t>PIC'N SAVE #248</t>
        </is>
      </c>
      <c r="D480" s="100" t="n">
        <v>1.19</v>
      </c>
      <c r="E480" s="104">
        <f>IF($C480="","",IFERROR(LOOKUP(2,1/((ISNUMBER(SEARCH('Category Rules'!$B$6:$B$125,$C480)))*('Category Rules'!$B$6:$B$125&lt;&gt;"")),'Category Rules'!$C$6:$C$125),"Uncategorized"))</f>
        <v/>
      </c>
      <c r="F480" s="108" t="n"/>
      <c r="G480" s="106">
        <f>IF($C480="","",IF($F480&lt;&gt;"",$F480,$E480))</f>
        <v/>
      </c>
      <c r="H480" s="82">
        <f>IF($B480="","",TEXT($B480,"mmm yyyy"))</f>
        <v/>
      </c>
    </row>
    <row r="481" ht="18" customHeight="1">
      <c r="A481" s="14" t="n"/>
      <c r="B481" s="98" t="inlineStr">
        <is>
          <t>2026-03-31</t>
        </is>
      </c>
      <c r="C481" s="99" t="inlineStr">
        <is>
          <t>TST* ROCK N ROOSTER SA</t>
        </is>
      </c>
      <c r="D481" s="100" t="n">
        <v>45.22</v>
      </c>
      <c r="E481" s="101">
        <f>IF($C481="","",IFERROR(LOOKUP(2,1/((ISNUMBER(SEARCH('Category Rules'!$B$6:$B$125,$C481)))*('Category Rules'!$B$6:$B$125&lt;&gt;"")),'Category Rules'!$C$6:$C$125),"Uncategorized"))</f>
        <v/>
      </c>
      <c r="F481" s="108" t="n"/>
      <c r="G481" s="103">
        <f>IF($C481="","",IF($F481&lt;&gt;"",$F481,$E481))</f>
        <v/>
      </c>
      <c r="H481" s="85">
        <f>IF($B481="","",TEXT($B481,"mmm yyyy"))</f>
        <v/>
      </c>
    </row>
    <row r="482" ht="18" customHeight="1">
      <c r="A482" s="10" t="n"/>
      <c r="B482" s="98" t="inlineStr">
        <is>
          <t>2026-03-31</t>
        </is>
      </c>
      <c r="C482" s="99" t="inlineStr">
        <is>
          <t>ORACL*Waffle House 160</t>
        </is>
      </c>
      <c r="D482" s="100" t="n">
        <v>11.5</v>
      </c>
      <c r="E482" s="104">
        <f>IF($C482="","",IFERROR(LOOKUP(2,1/((ISNUMBER(SEARCH('Category Rules'!$B$6:$B$125,$C482)))*('Category Rules'!$B$6:$B$125&lt;&gt;"")),'Category Rules'!$C$6:$C$125),"Uncategorized"))</f>
        <v/>
      </c>
      <c r="F482" s="108" t="n"/>
      <c r="G482" s="106">
        <f>IF($C482="","",IF($F482&lt;&gt;"",$F482,$E482))</f>
        <v/>
      </c>
      <c r="H482" s="82">
        <f>IF($B482="","",TEXT($B482,"mmm yyyy"))</f>
        <v/>
      </c>
    </row>
    <row r="483" ht="18" customHeight="1">
      <c r="A483" s="14" t="n"/>
      <c r="B483" s="98" t="inlineStr">
        <is>
          <t>2026-03-31</t>
        </is>
      </c>
      <c r="C483" s="99" t="inlineStr">
        <is>
          <t>Bojangles 0914</t>
        </is>
      </c>
      <c r="D483" s="100" t="n">
        <v>8.130000000000001</v>
      </c>
      <c r="E483" s="101">
        <f>IF($C483="","",IFERROR(LOOKUP(2,1/((ISNUMBER(SEARCH('Category Rules'!$B$6:$B$125,$C483)))*('Category Rules'!$B$6:$B$125&lt;&gt;"")),'Category Rules'!$C$6:$C$125),"Uncategorized"))</f>
        <v/>
      </c>
      <c r="F483" s="108" t="n"/>
      <c r="G483" s="103">
        <f>IF($C483="","",IF($F483&lt;&gt;"",$F483,$E483))</f>
        <v/>
      </c>
      <c r="H483" s="85">
        <f>IF($B483="","",TEXT($B483,"mmm yyyy"))</f>
        <v/>
      </c>
    </row>
    <row r="484" ht="18" customHeight="1">
      <c r="A484" s="10" t="n"/>
      <c r="B484" s="98" t="inlineStr">
        <is>
          <t>2026-03-31</t>
        </is>
      </c>
      <c r="C484" s="99" t="inlineStr">
        <is>
          <t>JACK</t>
        </is>
      </c>
      <c r="D484" s="100" t="n">
        <v>7.14</v>
      </c>
      <c r="E484" s="104">
        <f>IF($C484="","",IFERROR(LOOKUP(2,1/((ISNUMBER(SEARCH('Category Rules'!$B$6:$B$125,$C484)))*('Category Rules'!$B$6:$B$125&lt;&gt;"")),'Category Rules'!$C$6:$C$125),"Uncategorized"))</f>
        <v/>
      </c>
      <c r="F484" s="108" t="n"/>
      <c r="G484" s="106">
        <f>IF($C484="","",IF($F484&lt;&gt;"",$F484,$E484))</f>
        <v/>
      </c>
      <c r="H484" s="82">
        <f>IF($B484="","",TEXT($B484,"mmm yyyy"))</f>
        <v/>
      </c>
    </row>
    <row r="485" ht="18" customHeight="1">
      <c r="A485" s="14" t="n"/>
      <c r="B485" s="98" t="inlineStr">
        <is>
          <t>2026-03-31</t>
        </is>
      </c>
      <c r="C485" s="99" t="inlineStr">
        <is>
          <t>PIC'N SAVE #248</t>
        </is>
      </c>
      <c r="D485" s="100" t="n">
        <v>2.29</v>
      </c>
      <c r="E485" s="101">
        <f>IF($C485="","",IFERROR(LOOKUP(2,1/((ISNUMBER(SEARCH('Category Rules'!$B$6:$B$125,$C485)))*('Category Rules'!$B$6:$B$125&lt;&gt;"")),'Category Rules'!$C$6:$C$125),"Uncategorized"))</f>
        <v/>
      </c>
      <c r="F485" s="108" t="n"/>
      <c r="G485" s="103">
        <f>IF($C485="","",IF($F485&lt;&gt;"",$F485,$E485))</f>
        <v/>
      </c>
      <c r="H485" s="85">
        <f>IF($B485="","",TEXT($B485,"mmm yyyy"))</f>
        <v/>
      </c>
    </row>
    <row r="486" ht="18" customHeight="1">
      <c r="A486" s="10" t="n"/>
      <c r="B486" s="98" t="inlineStr">
        <is>
          <t>2026-04-01</t>
        </is>
      </c>
      <c r="C486" s="99" t="inlineStr">
        <is>
          <t>Bojangles 0914</t>
        </is>
      </c>
      <c r="D486" s="100" t="n">
        <v>12.96</v>
      </c>
      <c r="E486" s="104">
        <f>IF($C486="","",IFERROR(LOOKUP(2,1/((ISNUMBER(SEARCH('Category Rules'!$B$6:$B$125,$C486)))*('Category Rules'!$B$6:$B$125&lt;&gt;"")),'Category Rules'!$C$6:$C$125),"Uncategorized"))</f>
        <v/>
      </c>
      <c r="F486" s="108" t="n"/>
      <c r="G486" s="106">
        <f>IF($C486="","",IF($F486&lt;&gt;"",$F486,$E486))</f>
        <v/>
      </c>
      <c r="H486" s="82">
        <f>IF($B486="","",TEXT($B486,"mmm yyyy"))</f>
        <v/>
      </c>
    </row>
    <row r="487" ht="18" customHeight="1">
      <c r="A487" s="14" t="n"/>
      <c r="B487" s="98" t="inlineStr">
        <is>
          <t>2026-04-01</t>
        </is>
      </c>
      <c r="C487" s="99" t="inlineStr">
        <is>
          <t>JACK'S #153 OXFORD</t>
        </is>
      </c>
      <c r="D487" s="100" t="n">
        <v>9.890000000000001</v>
      </c>
      <c r="E487" s="101">
        <f>IF($C487="","",IFERROR(LOOKUP(2,1/((ISNUMBER(SEARCH('Category Rules'!$B$6:$B$125,$C487)))*('Category Rules'!$B$6:$B$125&lt;&gt;"")),'Category Rules'!$C$6:$C$125),"Uncategorized"))</f>
        <v/>
      </c>
      <c r="F487" s="108" t="n"/>
      <c r="G487" s="103">
        <f>IF($C487="","",IF($F487&lt;&gt;"",$F487,$E487))</f>
        <v/>
      </c>
      <c r="H487" s="85">
        <f>IF($B487="","",TEXT($B487,"mmm yyyy"))</f>
        <v/>
      </c>
    </row>
    <row r="488" ht="18" customHeight="1">
      <c r="A488" s="10" t="n"/>
      <c r="B488" s="98" t="inlineStr">
        <is>
          <t>2026-04-02</t>
        </is>
      </c>
      <c r="C488" s="99" t="inlineStr">
        <is>
          <t>Bojangles 0914</t>
        </is>
      </c>
      <c r="D488" s="100" t="n">
        <v>8.130000000000001</v>
      </c>
      <c r="E488" s="104">
        <f>IF($C488="","",IFERROR(LOOKUP(2,1/((ISNUMBER(SEARCH('Category Rules'!$B$6:$B$125,$C488)))*('Category Rules'!$B$6:$B$125&lt;&gt;"")),'Category Rules'!$C$6:$C$125),"Uncategorized"))</f>
        <v/>
      </c>
      <c r="F488" s="108" t="n"/>
      <c r="G488" s="106">
        <f>IF($C488="","",IF($F488&lt;&gt;"",$F488,$E488))</f>
        <v/>
      </c>
      <c r="H488" s="82">
        <f>IF($B488="","",TEXT($B488,"mmm yyyy"))</f>
        <v/>
      </c>
    </row>
    <row r="489" ht="18" customHeight="1">
      <c r="A489" s="14" t="n"/>
      <c r="B489" s="98" t="inlineStr">
        <is>
          <t>2026-04-02</t>
        </is>
      </c>
      <c r="C489" s="99" t="inlineStr">
        <is>
          <t>ZAXBY'S #34001</t>
        </is>
      </c>
      <c r="D489" s="100" t="n">
        <v>12.92</v>
      </c>
      <c r="E489" s="101">
        <f>IF($C489="","",IFERROR(LOOKUP(2,1/((ISNUMBER(SEARCH('Category Rules'!$B$6:$B$125,$C489)))*('Category Rules'!$B$6:$B$125&lt;&gt;"")),'Category Rules'!$C$6:$C$125),"Uncategorized"))</f>
        <v/>
      </c>
      <c r="F489" s="108" t="n"/>
      <c r="G489" s="103">
        <f>IF($C489="","",IF($F489&lt;&gt;"",$F489,$E489))</f>
        <v/>
      </c>
      <c r="H489" s="85">
        <f>IF($B489="","",TEXT($B489,"mmm yyyy"))</f>
        <v/>
      </c>
    </row>
    <row r="490" ht="18" customHeight="1">
      <c r="A490" s="10" t="n"/>
      <c r="B490" s="98" t="inlineStr">
        <is>
          <t>2026-04-02</t>
        </is>
      </c>
      <c r="C490" s="99" t="inlineStr">
        <is>
          <t>TACO BELL #7029147</t>
        </is>
      </c>
      <c r="D490" s="100" t="n">
        <v>8.140000000000001</v>
      </c>
      <c r="E490" s="104">
        <f>IF($C490="","",IFERROR(LOOKUP(2,1/((ISNUMBER(SEARCH('Category Rules'!$B$6:$B$125,$C490)))*('Category Rules'!$B$6:$B$125&lt;&gt;"")),'Category Rules'!$C$6:$C$125),"Uncategorized"))</f>
        <v/>
      </c>
      <c r="F490" s="108" t="n"/>
      <c r="G490" s="106">
        <f>IF($C490="","",IF($F490&lt;&gt;"",$F490,$E490))</f>
        <v/>
      </c>
      <c r="H490" s="82">
        <f>IF($B490="","",TEXT($B490,"mmm yyyy"))</f>
        <v/>
      </c>
    </row>
    <row r="491" ht="18" customHeight="1">
      <c r="A491" s="14" t="n"/>
      <c r="B491" s="98" t="inlineStr">
        <is>
          <t>2026-04-03</t>
        </is>
      </c>
      <c r="C491" s="99" t="inlineStr">
        <is>
          <t>W. M. GROCERY</t>
        </is>
      </c>
      <c r="D491" s="100" t="n">
        <v>2.04</v>
      </c>
      <c r="E491" s="101">
        <f>IF($C491="","",IFERROR(LOOKUP(2,1/((ISNUMBER(SEARCH('Category Rules'!$B$6:$B$125,$C491)))*('Category Rules'!$B$6:$B$125&lt;&gt;"")),'Category Rules'!$C$6:$C$125),"Uncategorized"))</f>
        <v/>
      </c>
      <c r="F491" s="108" t="n"/>
      <c r="G491" s="103">
        <f>IF($C491="","",IF($F491&lt;&gt;"",$F491,$E491))</f>
        <v/>
      </c>
      <c r="H491" s="85">
        <f>IF($B491="","",TEXT($B491,"mmm yyyy"))</f>
        <v/>
      </c>
    </row>
    <row r="492" ht="18" customHeight="1">
      <c r="A492" s="10" t="n"/>
      <c r="B492" s="98" t="inlineStr">
        <is>
          <t>2026-04-03</t>
        </is>
      </c>
      <c r="C492" s="99" t="inlineStr">
        <is>
          <t>W. M. GROCERY</t>
        </is>
      </c>
      <c r="D492" s="100" t="n">
        <v>1.61</v>
      </c>
      <c r="E492" s="104">
        <f>IF($C492="","",IFERROR(LOOKUP(2,1/((ISNUMBER(SEARCH('Category Rules'!$B$6:$B$125,$C492)))*('Category Rules'!$B$6:$B$125&lt;&gt;"")),'Category Rules'!$C$6:$C$125),"Uncategorized"))</f>
        <v/>
      </c>
      <c r="F492" s="108" t="n"/>
      <c r="G492" s="106">
        <f>IF($C492="","",IF($F492&lt;&gt;"",$F492,$E492))</f>
        <v/>
      </c>
      <c r="H492" s="82">
        <f>IF($B492="","",TEXT($B492,"mmm yyyy"))</f>
        <v/>
      </c>
    </row>
    <row r="493" ht="18" customHeight="1">
      <c r="A493" s="14" t="n"/>
      <c r="B493" s="98" t="inlineStr">
        <is>
          <t>2026-04-03</t>
        </is>
      </c>
      <c r="C493" s="99" t="inlineStr">
        <is>
          <t>PIGGLY WIGGLY #</t>
        </is>
      </c>
      <c r="D493" s="100" t="n">
        <v>2.34</v>
      </c>
      <c r="E493" s="101">
        <f>IF($C493="","",IFERROR(LOOKUP(2,1/((ISNUMBER(SEARCH('Category Rules'!$B$6:$B$125,$C493)))*('Category Rules'!$B$6:$B$125&lt;&gt;"")),'Category Rules'!$C$6:$C$125),"Uncategorized"))</f>
        <v/>
      </c>
      <c r="F493" s="108" t="n"/>
      <c r="G493" s="103">
        <f>IF($C493="","",IF($F493&lt;&gt;"",$F493,$E493))</f>
        <v/>
      </c>
      <c r="H493" s="85">
        <f>IF($B493="","",TEXT($B493,"mmm yyyy"))</f>
        <v/>
      </c>
    </row>
    <row r="494" ht="18" customHeight="1">
      <c r="A494" s="10" t="n"/>
      <c r="B494" s="98" t="inlineStr">
        <is>
          <t>2026-04-03</t>
        </is>
      </c>
      <c r="C494" s="99" t="inlineStr">
        <is>
          <t>ORACL*Waffle House 160</t>
        </is>
      </c>
      <c r="D494" s="100" t="n">
        <v>18.5</v>
      </c>
      <c r="E494" s="104">
        <f>IF($C494="","",IFERROR(LOOKUP(2,1/((ISNUMBER(SEARCH('Category Rules'!$B$6:$B$125,$C494)))*('Category Rules'!$B$6:$B$125&lt;&gt;"")),'Category Rules'!$C$6:$C$125),"Uncategorized"))</f>
        <v/>
      </c>
      <c r="F494" s="108" t="n"/>
      <c r="G494" s="106">
        <f>IF($C494="","",IF($F494&lt;&gt;"",$F494,$E494))</f>
        <v/>
      </c>
      <c r="H494" s="82">
        <f>IF($B494="","",TEXT($B494,"mmm yyyy"))</f>
        <v/>
      </c>
    </row>
    <row r="495" ht="18" customHeight="1">
      <c r="A495" s="14" t="n"/>
      <c r="B495" s="98" t="inlineStr">
        <is>
          <t>2026-04-03</t>
        </is>
      </c>
      <c r="C495" s="99" t="inlineStr">
        <is>
          <t>JACK'S #153 OXFORD</t>
        </is>
      </c>
      <c r="D495" s="100" t="n">
        <v>10.99</v>
      </c>
      <c r="E495" s="101">
        <f>IF($C495="","",IFERROR(LOOKUP(2,1/((ISNUMBER(SEARCH('Category Rules'!$B$6:$B$125,$C495)))*('Category Rules'!$B$6:$B$125&lt;&gt;"")),'Category Rules'!$C$6:$C$125),"Uncategorized"))</f>
        <v/>
      </c>
      <c r="F495" s="108" t="n"/>
      <c r="G495" s="103">
        <f>IF($C495="","",IF($F495&lt;&gt;"",$F495,$E495))</f>
        <v/>
      </c>
      <c r="H495" s="85">
        <f>IF($B495="","",TEXT($B495,"mmm yyyy"))</f>
        <v/>
      </c>
    </row>
    <row r="496" ht="18" customHeight="1">
      <c r="A496" s="10" t="n"/>
      <c r="B496" s="98" t="inlineStr">
        <is>
          <t>2026-04-03</t>
        </is>
      </c>
      <c r="C496" s="99" t="inlineStr">
        <is>
          <t>TST* ROCK N ROOSTER SA</t>
        </is>
      </c>
      <c r="D496" s="100" t="n">
        <v>64.48</v>
      </c>
      <c r="E496" s="104">
        <f>IF($C496="","",IFERROR(LOOKUP(2,1/((ISNUMBER(SEARCH('Category Rules'!$B$6:$B$125,$C496)))*('Category Rules'!$B$6:$B$125&lt;&gt;"")),'Category Rules'!$C$6:$C$125),"Uncategorized"))</f>
        <v/>
      </c>
      <c r="F496" s="108" t="n"/>
      <c r="G496" s="106">
        <f>IF($C496="","",IF($F496&lt;&gt;"",$F496,$E496))</f>
        <v/>
      </c>
      <c r="H496" s="82">
        <f>IF($B496="","",TEXT($B496,"mmm yyyy"))</f>
        <v/>
      </c>
    </row>
    <row r="497" ht="18" customHeight="1">
      <c r="A497" s="14" t="n"/>
      <c r="B497" s="98" t="inlineStr">
        <is>
          <t>2026-04-03</t>
        </is>
      </c>
      <c r="C497" s="99" t="inlineStr">
        <is>
          <t>SISTERS</t>
        </is>
      </c>
      <c r="D497" s="100" t="n">
        <v>11.5</v>
      </c>
      <c r="E497" s="101">
        <f>IF($C497="","",IFERROR(LOOKUP(2,1/((ISNUMBER(SEARCH('Category Rules'!$B$6:$B$125,$C497)))*('Category Rules'!$B$6:$B$125&lt;&gt;"")),'Category Rules'!$C$6:$C$125),"Uncategorized"))</f>
        <v/>
      </c>
      <c r="F497" s="108" t="n"/>
      <c r="G497" s="103">
        <f>IF($C497="","",IF($F497&lt;&gt;"",$F497,$E497))</f>
        <v/>
      </c>
      <c r="H497" s="85">
        <f>IF($B497="","",TEXT($B497,"mmm yyyy"))</f>
        <v/>
      </c>
    </row>
    <row r="498" ht="18" customHeight="1">
      <c r="A498" s="10" t="n"/>
      <c r="B498" s="98" t="inlineStr">
        <is>
          <t>2026-04-03</t>
        </is>
      </c>
      <c r="C498" s="99" t="inlineStr">
        <is>
          <t>TACO BELL #7029147</t>
        </is>
      </c>
      <c r="D498" s="100" t="n">
        <v>8.140000000000001</v>
      </c>
      <c r="E498" s="104">
        <f>IF($C498="","",IFERROR(LOOKUP(2,1/((ISNUMBER(SEARCH('Category Rules'!$B$6:$B$125,$C498)))*('Category Rules'!$B$6:$B$125&lt;&gt;"")),'Category Rules'!$C$6:$C$125),"Uncategorized"))</f>
        <v/>
      </c>
      <c r="F498" s="108" t="n"/>
      <c r="G498" s="106">
        <f>IF($C498="","",IF($F498&lt;&gt;"",$F498,$E498))</f>
        <v/>
      </c>
      <c r="H498" s="82">
        <f>IF($B498="","",TEXT($B498,"mmm yyyy"))</f>
        <v/>
      </c>
    </row>
    <row r="499" ht="18" customHeight="1">
      <c r="A499" s="14" t="n"/>
      <c r="B499" s="98" t="inlineStr">
        <is>
          <t>2026-04-04</t>
        </is>
      </c>
      <c r="C499" s="99" t="inlineStr">
        <is>
          <t>W. M. GROCERY</t>
        </is>
      </c>
      <c r="D499" s="100" t="n">
        <v>11.87</v>
      </c>
      <c r="E499" s="101">
        <f>IF($C499="","",IFERROR(LOOKUP(2,1/((ISNUMBER(SEARCH('Category Rules'!$B$6:$B$125,$C499)))*('Category Rules'!$B$6:$B$125&lt;&gt;"")),'Category Rules'!$C$6:$C$125),"Uncategorized"))</f>
        <v/>
      </c>
      <c r="F499" s="108" t="n"/>
      <c r="G499" s="103">
        <f>IF($C499="","",IF($F499&lt;&gt;"",$F499,$E499))</f>
        <v/>
      </c>
      <c r="H499" s="85">
        <f>IF($B499="","",TEXT($B499,"mmm yyyy"))</f>
        <v/>
      </c>
    </row>
    <row r="500" ht="18" customHeight="1">
      <c r="A500" s="10" t="n"/>
      <c r="B500" s="98" t="inlineStr">
        <is>
          <t>2026-04-04</t>
        </is>
      </c>
      <c r="C500" s="99" t="inlineStr">
        <is>
          <t>THE GREEN STORES</t>
        </is>
      </c>
      <c r="D500" s="100" t="n">
        <v>81.54000000000001</v>
      </c>
      <c r="E500" s="104">
        <f>IF($C500="","",IFERROR(LOOKUP(2,1/((ISNUMBER(SEARCH('Category Rules'!$B$6:$B$125,$C500)))*('Category Rules'!$B$6:$B$125&lt;&gt;"")),'Category Rules'!$C$6:$C$125),"Uncategorized"))</f>
        <v/>
      </c>
      <c r="F500" s="108" t="n"/>
      <c r="G500" s="106">
        <f>IF($C500="","",IF($F500&lt;&gt;"",$F500,$E500))</f>
        <v/>
      </c>
      <c r="H500" s="82">
        <f>IF($B500="","",TEXT($B500,"mmm yyyy"))</f>
        <v/>
      </c>
    </row>
    <row r="501" ht="18" customHeight="1">
      <c r="A501" s="14" t="n"/>
      <c r="B501" s="98" t="inlineStr">
        <is>
          <t>2026-04-04</t>
        </is>
      </c>
      <c r="C501" s="99" t="inlineStr">
        <is>
          <t>TST* ROCK N ROOSTER SA</t>
        </is>
      </c>
      <c r="D501" s="100" t="n">
        <v>45.1</v>
      </c>
      <c r="E501" s="101">
        <f>IF($C501="","",IFERROR(LOOKUP(2,1/((ISNUMBER(SEARCH('Category Rules'!$B$6:$B$125,$C501)))*('Category Rules'!$B$6:$B$125&lt;&gt;"")),'Category Rules'!$C$6:$C$125),"Uncategorized"))</f>
        <v/>
      </c>
      <c r="F501" s="108" t="n"/>
      <c r="G501" s="103">
        <f>IF($C501="","",IF($F501&lt;&gt;"",$F501,$E501))</f>
        <v/>
      </c>
      <c r="H501" s="85">
        <f>IF($B501="","",TEXT($B501,"mmm yyyy"))</f>
        <v/>
      </c>
    </row>
    <row r="502" ht="18" customHeight="1">
      <c r="A502" s="10" t="n"/>
      <c r="B502" s="98" t="inlineStr">
        <is>
          <t>2026-04-04</t>
        </is>
      </c>
      <c r="C502" s="99" t="inlineStr">
        <is>
          <t>JEFFERSONS JACKSONVILL</t>
        </is>
      </c>
      <c r="D502" s="100" t="n">
        <v>30.19</v>
      </c>
      <c r="E502" s="104">
        <f>IF($C502="","",IFERROR(LOOKUP(2,1/((ISNUMBER(SEARCH('Category Rules'!$B$6:$B$125,$C502)))*('Category Rules'!$B$6:$B$125&lt;&gt;"")),'Category Rules'!$C$6:$C$125),"Uncategorized"))</f>
        <v/>
      </c>
      <c r="F502" s="108" t="n"/>
      <c r="G502" s="106">
        <f>IF($C502="","",IF($F502&lt;&gt;"",$F502,$E502))</f>
        <v/>
      </c>
      <c r="H502" s="82">
        <f>IF($B502="","",TEXT($B502,"mmm yyyy"))</f>
        <v/>
      </c>
    </row>
    <row r="503" ht="18" customHeight="1">
      <c r="A503" s="14" t="n"/>
      <c r="B503" s="98" t="inlineStr">
        <is>
          <t>2026-04-04</t>
        </is>
      </c>
      <c r="C503" s="99" t="inlineStr">
        <is>
          <t>WHATABURGER 1492</t>
        </is>
      </c>
      <c r="D503" s="100" t="n">
        <v>17.48</v>
      </c>
      <c r="E503" s="101">
        <f>IF($C503="","",IFERROR(LOOKUP(2,1/((ISNUMBER(SEARCH('Category Rules'!$B$6:$B$125,$C503)))*('Category Rules'!$B$6:$B$125&lt;&gt;"")),'Category Rules'!$C$6:$C$125),"Uncategorized"))</f>
        <v/>
      </c>
      <c r="F503" s="108" t="n"/>
      <c r="G503" s="103">
        <f>IF($C503="","",IF($F503&lt;&gt;"",$F503,$E503))</f>
        <v/>
      </c>
      <c r="H503" s="85">
        <f>IF($B503="","",TEXT($B503,"mmm yyyy"))</f>
        <v/>
      </c>
    </row>
    <row r="504" ht="18" customHeight="1">
      <c r="A504" s="10" t="n"/>
      <c r="B504" s="98" t="inlineStr">
        <is>
          <t>2026-04-05</t>
        </is>
      </c>
      <c r="C504" s="99" t="inlineStr">
        <is>
          <t>SITE356853- CHE</t>
        </is>
      </c>
      <c r="D504" s="100" t="n">
        <v>10.99</v>
      </c>
      <c r="E504" s="104">
        <f>IF($C504="","",IFERROR(LOOKUP(2,1/((ISNUMBER(SEARCH('Category Rules'!$B$6:$B$125,$C504)))*('Category Rules'!$B$6:$B$125&lt;&gt;"")),'Category Rules'!$C$6:$C$125),"Uncategorized"))</f>
        <v/>
      </c>
      <c r="F504" s="108" t="n"/>
      <c r="G504" s="106">
        <f>IF($C504="","",IF($F504&lt;&gt;"",$F504,$E504))</f>
        <v/>
      </c>
      <c r="H504" s="82">
        <f>IF($B504="","",TEXT($B504,"mmm yyyy"))</f>
        <v/>
      </c>
    </row>
    <row r="505" ht="18" customHeight="1">
      <c r="A505" s="14" t="n"/>
      <c r="B505" s="98" t="inlineStr">
        <is>
          <t>2026-04-05</t>
        </is>
      </c>
      <c r="C505" s="99" t="inlineStr">
        <is>
          <t>PIC'N SAVE #248</t>
        </is>
      </c>
      <c r="D505" s="100" t="n">
        <v>12.29</v>
      </c>
      <c r="E505" s="101">
        <f>IF($C505="","",IFERROR(LOOKUP(2,1/((ISNUMBER(SEARCH('Category Rules'!$B$6:$B$125,$C505)))*('Category Rules'!$B$6:$B$125&lt;&gt;"")),'Category Rules'!$C$6:$C$125),"Uncategorized"))</f>
        <v/>
      </c>
      <c r="F505" s="108" t="n"/>
      <c r="G505" s="103">
        <f>IF($C505="","",IF($F505&lt;&gt;"",$F505,$E505))</f>
        <v/>
      </c>
      <c r="H505" s="85">
        <f>IF($B505="","",TEXT($B505,"mmm yyyy"))</f>
        <v/>
      </c>
    </row>
    <row r="506" ht="18" customHeight="1">
      <c r="A506" s="10" t="n"/>
      <c r="B506" s="98" t="inlineStr">
        <is>
          <t>2026-04-05</t>
        </is>
      </c>
      <c r="C506" s="99" t="inlineStr">
        <is>
          <t>CANE CREEK GRILL</t>
        </is>
      </c>
      <c r="D506" s="100" t="n">
        <v>17.6</v>
      </c>
      <c r="E506" s="104">
        <f>IF($C506="","",IFERROR(LOOKUP(2,1/((ISNUMBER(SEARCH('Category Rules'!$B$6:$B$125,$C506)))*('Category Rules'!$B$6:$B$125&lt;&gt;"")),'Category Rules'!$C$6:$C$125),"Uncategorized"))</f>
        <v/>
      </c>
      <c r="F506" s="108" t="n"/>
      <c r="G506" s="106">
        <f>IF($C506="","",IF($F506&lt;&gt;"",$F506,$E506))</f>
        <v/>
      </c>
      <c r="H506" s="82">
        <f>IF($B506="","",TEXT($B506,"mmm yyyy"))</f>
        <v/>
      </c>
    </row>
    <row r="507" ht="18" customHeight="1">
      <c r="A507" s="14" t="n"/>
      <c r="B507" s="98" t="inlineStr">
        <is>
          <t>2026-04-05</t>
        </is>
      </c>
      <c r="C507" s="99" t="inlineStr">
        <is>
          <t>COOK OUT JACKSONVILLE</t>
        </is>
      </c>
      <c r="D507" s="100" t="n">
        <v>8.789999999999999</v>
      </c>
      <c r="E507" s="101">
        <f>IF($C507="","",IFERROR(LOOKUP(2,1/((ISNUMBER(SEARCH('Category Rules'!$B$6:$B$125,$C507)))*('Category Rules'!$B$6:$B$125&lt;&gt;"")),'Category Rules'!$C$6:$C$125),"Uncategorized"))</f>
        <v/>
      </c>
      <c r="F507" s="108" t="n"/>
      <c r="G507" s="103">
        <f>IF($C507="","",IF($F507&lt;&gt;"",$F507,$E507))</f>
        <v/>
      </c>
      <c r="H507" s="85">
        <f>IF($B507="","",TEXT($B507,"mmm yyyy"))</f>
        <v/>
      </c>
    </row>
    <row r="508" ht="18" customHeight="1">
      <c r="A508" s="10" t="n"/>
      <c r="B508" s="98" t="inlineStr">
        <is>
          <t>2026-04-06</t>
        </is>
      </c>
      <c r="C508" s="99" t="inlineStr">
        <is>
          <t>AOC FOOD MART 17</t>
        </is>
      </c>
      <c r="D508" s="100" t="n">
        <v>3.88</v>
      </c>
      <c r="E508" s="104">
        <f>IF($C508="","",IFERROR(LOOKUP(2,1/((ISNUMBER(SEARCH('Category Rules'!$B$6:$B$125,$C508)))*('Category Rules'!$B$6:$B$125&lt;&gt;"")),'Category Rules'!$C$6:$C$125),"Uncategorized"))</f>
        <v/>
      </c>
      <c r="F508" s="108" t="n"/>
      <c r="G508" s="106">
        <f>IF($C508="","",IF($F508&lt;&gt;"",$F508,$E508))</f>
        <v/>
      </c>
      <c r="H508" s="82">
        <f>IF($B508="","",TEXT($B508,"mmm yyyy"))</f>
        <v/>
      </c>
    </row>
    <row r="509" ht="18" customHeight="1">
      <c r="A509" s="14" t="n"/>
      <c r="B509" s="98" t="inlineStr">
        <is>
          <t>2026-04-06</t>
        </is>
      </c>
      <c r="C509" s="99" t="inlineStr">
        <is>
          <t>JACK'S #200</t>
        </is>
      </c>
      <c r="D509" s="100" t="n">
        <v>6.11</v>
      </c>
      <c r="E509" s="101">
        <f>IF($C509="","",IFERROR(LOOKUP(2,1/((ISNUMBER(SEARCH('Category Rules'!$B$6:$B$125,$C509)))*('Category Rules'!$B$6:$B$125&lt;&gt;"")),'Category Rules'!$C$6:$C$125),"Uncategorized"))</f>
        <v/>
      </c>
      <c r="F509" s="108" t="n"/>
      <c r="G509" s="103">
        <f>IF($C509="","",IF($F509&lt;&gt;"",$F509,$E509))</f>
        <v/>
      </c>
      <c r="H509" s="85">
        <f>IF($B509="","",TEXT($B509,"mmm yyyy"))</f>
        <v/>
      </c>
    </row>
    <row r="510" ht="18" customHeight="1">
      <c r="A510" s="10" t="n"/>
      <c r="B510" s="98" t="inlineStr">
        <is>
          <t>2026-04-06</t>
        </is>
      </c>
      <c r="C510" s="99" t="inlineStr">
        <is>
          <t>PAK A SAK</t>
        </is>
      </c>
      <c r="D510" s="100" t="n">
        <v>10.38</v>
      </c>
      <c r="E510" s="104">
        <f>IF($C510="","",IFERROR(LOOKUP(2,1/((ISNUMBER(SEARCH('Category Rules'!$B$6:$B$125,$C510)))*('Category Rules'!$B$6:$B$125&lt;&gt;"")),'Category Rules'!$C$6:$C$125),"Uncategorized"))</f>
        <v/>
      </c>
      <c r="F510" s="108" t="n"/>
      <c r="G510" s="106">
        <f>IF($C510="","",IF($F510&lt;&gt;"",$F510,$E510))</f>
        <v/>
      </c>
      <c r="H510" s="82">
        <f>IF($B510="","",TEXT($B510,"mmm yyyy"))</f>
        <v/>
      </c>
    </row>
    <row r="511" ht="18" customHeight="1">
      <c r="A511" s="14" t="n"/>
      <c r="B511" s="98" t="inlineStr">
        <is>
          <t>2026-04-06</t>
        </is>
      </c>
      <c r="C511" s="99" t="inlineStr">
        <is>
          <t>Baja California</t>
        </is>
      </c>
      <c r="D511" s="100" t="n">
        <v>45.04</v>
      </c>
      <c r="E511" s="101">
        <f>IF($C511="","",IFERROR(LOOKUP(2,1/((ISNUMBER(SEARCH('Category Rules'!$B$6:$B$125,$C511)))*('Category Rules'!$B$6:$B$125&lt;&gt;"")),'Category Rules'!$C$6:$C$125),"Uncategorized"))</f>
        <v/>
      </c>
      <c r="F511" s="108" t="n"/>
      <c r="G511" s="103">
        <f>IF($C511="","",IF($F511&lt;&gt;"",$F511,$E511))</f>
        <v/>
      </c>
      <c r="H511" s="85">
        <f>IF($B511="","",TEXT($B511,"mmm yyyy"))</f>
        <v/>
      </c>
    </row>
    <row r="512" ht="18" customHeight="1">
      <c r="A512" s="10" t="n"/>
      <c r="B512" s="98" t="inlineStr">
        <is>
          <t>2026-04-06</t>
        </is>
      </c>
      <c r="C512" s="99" t="inlineStr">
        <is>
          <t>JACK'S #200</t>
        </is>
      </c>
      <c r="D512" s="100" t="n">
        <v>10.11</v>
      </c>
      <c r="E512" s="104">
        <f>IF($C512="","",IFERROR(LOOKUP(2,1/((ISNUMBER(SEARCH('Category Rules'!$B$6:$B$125,$C512)))*('Category Rules'!$B$6:$B$125&lt;&gt;"")),'Category Rules'!$C$6:$C$125),"Uncategorized"))</f>
        <v/>
      </c>
      <c r="F512" s="108" t="n"/>
      <c r="G512" s="106">
        <f>IF($C512="","",IF($F512&lt;&gt;"",$F512,$E512))</f>
        <v/>
      </c>
      <c r="H512" s="82">
        <f>IF($B512="","",TEXT($B512,"mmm yyyy"))</f>
        <v/>
      </c>
    </row>
    <row r="513" ht="18" customHeight="1">
      <c r="A513" s="14" t="n"/>
      <c r="B513" s="98" t="inlineStr">
        <is>
          <t>2026-04-06</t>
        </is>
      </c>
      <c r="C513" s="99" t="inlineStr">
        <is>
          <t>JACK'S #156 HEFLIN</t>
        </is>
      </c>
      <c r="D513" s="100" t="n">
        <v>6.53</v>
      </c>
      <c r="E513" s="101">
        <f>IF($C513="","",IFERROR(LOOKUP(2,1/((ISNUMBER(SEARCH('Category Rules'!$B$6:$B$125,$C513)))*('Category Rules'!$B$6:$B$125&lt;&gt;"")),'Category Rules'!$C$6:$C$125),"Uncategorized"))</f>
        <v/>
      </c>
      <c r="F513" s="108" t="n"/>
      <c r="G513" s="103">
        <f>IF($C513="","",IF($F513&lt;&gt;"",$F513,$E513))</f>
        <v/>
      </c>
      <c r="H513" s="85">
        <f>IF($B513="","",TEXT($B513,"mmm yyyy"))</f>
        <v/>
      </c>
    </row>
    <row r="514" ht="18" customHeight="1">
      <c r="A514" s="10" t="n"/>
      <c r="B514" s="98" t="inlineStr">
        <is>
          <t>2026-04-06</t>
        </is>
      </c>
      <c r="C514" s="99" t="inlineStr">
        <is>
          <t>AMEX EPAYMENT</t>
        </is>
      </c>
      <c r="D514" s="100" t="n">
        <v>108.47</v>
      </c>
      <c r="E514" s="104">
        <f>IF($C514="","",IFERROR(LOOKUP(2,1/((ISNUMBER(SEARCH('Category Rules'!$B$6:$B$125,$C514)))*('Category Rules'!$B$6:$B$125&lt;&gt;"")),'Category Rules'!$C$6:$C$125),"Uncategorized"))</f>
        <v/>
      </c>
      <c r="F514" s="108" t="n"/>
      <c r="G514" s="106">
        <f>IF($C514="","",IF($F514&lt;&gt;"",$F514,$E514))</f>
        <v/>
      </c>
      <c r="H514" s="82">
        <f>IF($B514="","",TEXT($B514,"mmm yyyy"))</f>
        <v/>
      </c>
    </row>
    <row r="515" ht="18" customHeight="1">
      <c r="A515" s="14" t="n"/>
      <c r="B515" s="98" t="inlineStr">
        <is>
          <t>2026-04-07</t>
        </is>
      </c>
      <c r="C515" s="99" t="inlineStr">
        <is>
          <t>MAPCO 5108 706 PELHAM R</t>
        </is>
      </c>
      <c r="D515" s="100" t="n">
        <v>88.67</v>
      </c>
      <c r="E515" s="101">
        <f>IF($C515="","",IFERROR(LOOKUP(2,1/((ISNUMBER(SEARCH('Category Rules'!$B$6:$B$125,$C515)))*('Category Rules'!$B$6:$B$125&lt;&gt;"")),'Category Rules'!$C$6:$C$125),"Uncategorized"))</f>
        <v/>
      </c>
      <c r="F515" s="108" t="n"/>
      <c r="G515" s="103">
        <f>IF($C515="","",IF($F515&lt;&gt;"",$F515,$E515))</f>
        <v/>
      </c>
      <c r="H515" s="85">
        <f>IF($B515="","",TEXT($B515,"mmm yyyy"))</f>
        <v/>
      </c>
    </row>
    <row r="516" ht="18" customHeight="1">
      <c r="A516" s="10" t="n"/>
      <c r="B516" s="98" t="inlineStr">
        <is>
          <t>2026-04-07</t>
        </is>
      </c>
      <c r="C516" s="99" t="inlineStr">
        <is>
          <t>MAPCO 5108 706 PELHAM R</t>
        </is>
      </c>
      <c r="D516" s="100" t="n">
        <v>15.39</v>
      </c>
      <c r="E516" s="104">
        <f>IF($C516="","",IFERROR(LOOKUP(2,1/((ISNUMBER(SEARCH('Category Rules'!$B$6:$B$125,$C516)))*('Category Rules'!$B$6:$B$125&lt;&gt;"")),'Category Rules'!$C$6:$C$125),"Uncategorized"))</f>
        <v/>
      </c>
      <c r="F516" s="108" t="n"/>
      <c r="G516" s="106">
        <f>IF($C516="","",IF($F516&lt;&gt;"",$F516,$E516))</f>
        <v/>
      </c>
      <c r="H516" s="82">
        <f>IF($B516="","",TEXT($B516,"mmm yyyy"))</f>
        <v/>
      </c>
    </row>
    <row r="517" ht="18" customHeight="1">
      <c r="A517" s="14" t="n"/>
      <c r="B517" s="98" t="inlineStr">
        <is>
          <t>2026-04-07</t>
        </is>
      </c>
      <c r="C517" s="99" t="inlineStr">
        <is>
          <t>LAKE WEDOWEE</t>
        </is>
      </c>
      <c r="D517" s="100" t="n">
        <v>15.2</v>
      </c>
      <c r="E517" s="101">
        <f>IF($C517="","",IFERROR(LOOKUP(2,1/((ISNUMBER(SEARCH('Category Rules'!$B$6:$B$125,$C517)))*('Category Rules'!$B$6:$B$125&lt;&gt;"")),'Category Rules'!$C$6:$C$125),"Uncategorized"))</f>
        <v/>
      </c>
      <c r="F517" s="108" t="n"/>
      <c r="G517" s="103">
        <f>IF($C517="","",IF($F517&lt;&gt;"",$F517,$E517))</f>
        <v/>
      </c>
      <c r="H517" s="85">
        <f>IF($B517="","",TEXT($B517,"mmm yyyy"))</f>
        <v/>
      </c>
    </row>
    <row r="518" ht="18" customHeight="1">
      <c r="A518" s="10" t="n"/>
      <c r="B518" s="98" t="inlineStr">
        <is>
          <t>2026-04-07</t>
        </is>
      </c>
      <c r="C518" s="99" t="inlineStr">
        <is>
          <t>W. M. GROCERY</t>
        </is>
      </c>
      <c r="D518" s="100" t="n">
        <v>9.710000000000001</v>
      </c>
      <c r="E518" s="104">
        <f>IF($C518="","",IFERROR(LOOKUP(2,1/((ISNUMBER(SEARCH('Category Rules'!$B$6:$B$125,$C518)))*('Category Rules'!$B$6:$B$125&lt;&gt;"")),'Category Rules'!$C$6:$C$125),"Uncategorized"))</f>
        <v/>
      </c>
      <c r="F518" s="108" t="n"/>
      <c r="G518" s="106">
        <f>IF($C518="","",IF($F518&lt;&gt;"",$F518,$E518))</f>
        <v/>
      </c>
      <c r="H518" s="82">
        <f>IF($B518="","",TEXT($B518,"mmm yyyy"))</f>
        <v/>
      </c>
    </row>
    <row r="519" ht="18" customHeight="1">
      <c r="A519" s="14" t="n"/>
      <c r="B519" s="98" t="inlineStr">
        <is>
          <t>2026-04-07</t>
        </is>
      </c>
      <c r="C519" s="99" t="inlineStr">
        <is>
          <t>Bojangles 0914</t>
        </is>
      </c>
      <c r="D519" s="100" t="n">
        <v>13.51</v>
      </c>
      <c r="E519" s="101">
        <f>IF($C519="","",IFERROR(LOOKUP(2,1/((ISNUMBER(SEARCH('Category Rules'!$B$6:$B$125,$C519)))*('Category Rules'!$B$6:$B$125&lt;&gt;"")),'Category Rules'!$C$6:$C$125),"Uncategorized"))</f>
        <v/>
      </c>
      <c r="F519" s="108" t="n"/>
      <c r="G519" s="103">
        <f>IF($C519="","",IF($F519&lt;&gt;"",$F519,$E519))</f>
        <v/>
      </c>
      <c r="H519" s="85">
        <f>IF($B519="","",TEXT($B519,"mmm yyyy"))</f>
        <v/>
      </c>
    </row>
    <row r="520" ht="18" customHeight="1">
      <c r="A520" s="10" t="n"/>
      <c r="B520" s="98" t="inlineStr">
        <is>
          <t>2026-04-07</t>
        </is>
      </c>
      <c r="C520" s="99" t="inlineStr">
        <is>
          <t>JACK'S #156 HEFLIN</t>
        </is>
      </c>
      <c r="D520" s="100" t="n">
        <v>9.24</v>
      </c>
      <c r="E520" s="104">
        <f>IF($C520="","",IFERROR(LOOKUP(2,1/((ISNUMBER(SEARCH('Category Rules'!$B$6:$B$125,$C520)))*('Category Rules'!$B$6:$B$125&lt;&gt;"")),'Category Rules'!$C$6:$C$125),"Uncategorized"))</f>
        <v/>
      </c>
      <c r="F520" s="108" t="n"/>
      <c r="G520" s="106">
        <f>IF($C520="","",IF($F520&lt;&gt;"",$F520,$E520))</f>
        <v/>
      </c>
      <c r="H520" s="82">
        <f>IF($B520="","",TEXT($B520,"mmm yyyy"))</f>
        <v/>
      </c>
    </row>
    <row r="521" ht="18" customHeight="1">
      <c r="A521" s="14" t="n"/>
      <c r="B521" s="98" t="inlineStr">
        <is>
          <t>2026-04-07</t>
        </is>
      </c>
      <c r="C521" s="99" t="inlineStr">
        <is>
          <t>JACK'S #156 HEFLIN</t>
        </is>
      </c>
      <c r="D521" s="100" t="n">
        <v>9.25</v>
      </c>
      <c r="E521" s="101">
        <f>IF($C521="","",IFERROR(LOOKUP(2,1/((ISNUMBER(SEARCH('Category Rules'!$B$6:$B$125,$C521)))*('Category Rules'!$B$6:$B$125&lt;&gt;"")),'Category Rules'!$C$6:$C$125),"Uncategorized"))</f>
        <v/>
      </c>
      <c r="F521" s="108" t="n"/>
      <c r="G521" s="103">
        <f>IF($C521="","",IF($F521&lt;&gt;"",$F521,$E521))</f>
        <v/>
      </c>
      <c r="H521" s="85">
        <f>IF($B521="","",TEXT($B521,"mmm yyyy"))</f>
        <v/>
      </c>
    </row>
    <row r="522" ht="18" customHeight="1">
      <c r="A522" s="10" t="n"/>
      <c r="B522" s="98" t="inlineStr">
        <is>
          <t>2026-04-07</t>
        </is>
      </c>
      <c r="C522" s="99" t="inlineStr">
        <is>
          <t>PIC'N SAVE #248</t>
        </is>
      </c>
      <c r="D522" s="100" t="n">
        <v>1.19</v>
      </c>
      <c r="E522" s="104">
        <f>IF($C522="","",IFERROR(LOOKUP(2,1/((ISNUMBER(SEARCH('Category Rules'!$B$6:$B$125,$C522)))*('Category Rules'!$B$6:$B$125&lt;&gt;"")),'Category Rules'!$C$6:$C$125),"Uncategorized"))</f>
        <v/>
      </c>
      <c r="F522" s="108" t="n"/>
      <c r="G522" s="106">
        <f>IF($C522="","",IF($F522&lt;&gt;"",$F522,$E522))</f>
        <v/>
      </c>
      <c r="H522" s="82">
        <f>IF($B522="","",TEXT($B522,"mmm yyyy"))</f>
        <v/>
      </c>
    </row>
    <row r="523" ht="18" customHeight="1">
      <c r="A523" s="14" t="n"/>
      <c r="B523" s="98" t="inlineStr">
        <is>
          <t>2026-04-08</t>
        </is>
      </c>
      <c r="C523" s="99" t="inlineStr">
        <is>
          <t>Bojangles 0914</t>
        </is>
      </c>
      <c r="D523" s="100" t="n">
        <v>13.51</v>
      </c>
      <c r="E523" s="101">
        <f>IF($C523="","",IFERROR(LOOKUP(2,1/((ISNUMBER(SEARCH('Category Rules'!$B$6:$B$125,$C523)))*('Category Rules'!$B$6:$B$125&lt;&gt;"")),'Category Rules'!$C$6:$C$125),"Uncategorized"))</f>
        <v/>
      </c>
      <c r="F523" s="108" t="n"/>
      <c r="G523" s="103">
        <f>IF($C523="","",IF($F523&lt;&gt;"",$F523,$E523))</f>
        <v/>
      </c>
      <c r="H523" s="85">
        <f>IF($B523="","",TEXT($B523,"mmm yyyy"))</f>
        <v/>
      </c>
    </row>
    <row r="524" ht="18" customHeight="1">
      <c r="A524" s="10" t="n"/>
      <c r="B524" s="98" t="inlineStr">
        <is>
          <t>2026-04-08</t>
        </is>
      </c>
      <c r="C524" s="99" t="inlineStr">
        <is>
          <t>JACK'S #153 OXFORD</t>
        </is>
      </c>
      <c r="D524" s="100" t="n">
        <v>9.119999999999999</v>
      </c>
      <c r="E524" s="104">
        <f>IF($C524="","",IFERROR(LOOKUP(2,1/((ISNUMBER(SEARCH('Category Rules'!$B$6:$B$125,$C524)))*('Category Rules'!$B$6:$B$125&lt;&gt;"")),'Category Rules'!$C$6:$C$125),"Uncategorized"))</f>
        <v/>
      </c>
      <c r="F524" s="108" t="n"/>
      <c r="G524" s="106">
        <f>IF($C524="","",IF($F524&lt;&gt;"",$F524,$E524))</f>
        <v/>
      </c>
      <c r="H524" s="82">
        <f>IF($B524="","",TEXT($B524,"mmm yyyy"))</f>
        <v/>
      </c>
    </row>
    <row r="525" ht="18" customHeight="1">
      <c r="A525" s="14" t="n"/>
      <c r="B525" s="98" t="inlineStr">
        <is>
          <t>2026-04-09</t>
        </is>
      </c>
      <c r="C525" s="99" t="inlineStr">
        <is>
          <t>WAL-MART #0300</t>
        </is>
      </c>
      <c r="D525" s="100" t="n">
        <v>22.68</v>
      </c>
      <c r="E525" s="101">
        <f>IF($C525="","",IFERROR(LOOKUP(2,1/((ISNUMBER(SEARCH('Category Rules'!$B$6:$B$125,$C525)))*('Category Rules'!$B$6:$B$125&lt;&gt;"")),'Category Rules'!$C$6:$C$125),"Uncategorized"))</f>
        <v/>
      </c>
      <c r="F525" s="108" t="n"/>
      <c r="G525" s="103">
        <f>IF($C525="","",IF($F525&lt;&gt;"",$F525,$E525))</f>
        <v/>
      </c>
      <c r="H525" s="85">
        <f>IF($B525="","",TEXT($B525,"mmm yyyy"))</f>
        <v/>
      </c>
    </row>
    <row r="526" ht="18" customHeight="1">
      <c r="A526" s="10" t="n"/>
      <c r="B526" s="98" t="inlineStr">
        <is>
          <t>2026-04-09</t>
        </is>
      </c>
      <c r="C526" s="99" t="inlineStr">
        <is>
          <t>WM SUPERCENTER #300</t>
        </is>
      </c>
      <c r="D526" s="100" t="n">
        <v>40.72</v>
      </c>
      <c r="E526" s="104">
        <f>IF($C526="","",IFERROR(LOOKUP(2,1/((ISNUMBER(SEARCH('Category Rules'!$B$6:$B$125,$C526)))*('Category Rules'!$B$6:$B$125&lt;&gt;"")),'Category Rules'!$C$6:$C$125),"Uncategorized"))</f>
        <v/>
      </c>
      <c r="F526" s="108" t="n"/>
      <c r="G526" s="106">
        <f>IF($C526="","",IF($F526&lt;&gt;"",$F526,$E526))</f>
        <v/>
      </c>
      <c r="H526" s="82">
        <f>IF($B526="","",TEXT($B526,"mmm yyyy"))</f>
        <v/>
      </c>
    </row>
    <row r="527" ht="18" customHeight="1">
      <c r="A527" s="14" t="n"/>
      <c r="B527" s="98" t="inlineStr">
        <is>
          <t>2026-04-09</t>
        </is>
      </c>
      <c r="C527" s="99" t="inlineStr">
        <is>
          <t>MARATHON 235473</t>
        </is>
      </c>
      <c r="D527" s="100" t="n">
        <v>4.31</v>
      </c>
      <c r="E527" s="101">
        <f>IF($C527="","",IFERROR(LOOKUP(2,1/((ISNUMBER(SEARCH('Category Rules'!$B$6:$B$125,$C527)))*('Category Rules'!$B$6:$B$125&lt;&gt;"")),'Category Rules'!$C$6:$C$125),"Uncategorized"))</f>
        <v/>
      </c>
      <c r="F527" s="108" t="n"/>
      <c r="G527" s="103">
        <f>IF($C527="","",IF($F527&lt;&gt;"",$F527,$E527))</f>
        <v/>
      </c>
      <c r="H527" s="85">
        <f>IF($B527="","",TEXT($B527,"mmm yyyy"))</f>
        <v/>
      </c>
    </row>
    <row r="528" ht="18" customHeight="1">
      <c r="A528" s="10" t="n"/>
      <c r="B528" s="98" t="inlineStr">
        <is>
          <t>2026-04-09</t>
        </is>
      </c>
      <c r="C528" s="99" t="inlineStr">
        <is>
          <t>TACO BELL #7029147</t>
        </is>
      </c>
      <c r="D528" s="100" t="n">
        <v>7.92</v>
      </c>
      <c r="E528" s="104">
        <f>IF($C528="","",IFERROR(LOOKUP(2,1/((ISNUMBER(SEARCH('Category Rules'!$B$6:$B$125,$C528)))*('Category Rules'!$B$6:$B$125&lt;&gt;"")),'Category Rules'!$C$6:$C$125),"Uncategorized"))</f>
        <v/>
      </c>
      <c r="F528" s="108" t="n"/>
      <c r="G528" s="106">
        <f>IF($C528="","",IF($F528&lt;&gt;"",$F528,$E528))</f>
        <v/>
      </c>
      <c r="H528" s="82">
        <f>IF($B528="","",TEXT($B528,"mmm yyyy"))</f>
        <v/>
      </c>
    </row>
    <row r="529" ht="18" customHeight="1">
      <c r="A529" s="14" t="n"/>
      <c r="B529" s="98" t="inlineStr">
        <is>
          <t>2026-04-09</t>
        </is>
      </c>
      <c r="C529" s="99" t="inlineStr">
        <is>
          <t>Bojangles 0914</t>
        </is>
      </c>
      <c r="D529" s="100" t="n">
        <v>8.68</v>
      </c>
      <c r="E529" s="101">
        <f>IF($C529="","",IFERROR(LOOKUP(2,1/((ISNUMBER(SEARCH('Category Rules'!$B$6:$B$125,$C529)))*('Category Rules'!$B$6:$B$125&lt;&gt;"")),'Category Rules'!$C$6:$C$125),"Uncategorized"))</f>
        <v/>
      </c>
      <c r="F529" s="108" t="n"/>
      <c r="G529" s="103">
        <f>IF($C529="","",IF($F529&lt;&gt;"",$F529,$E529))</f>
        <v/>
      </c>
      <c r="H529" s="85">
        <f>IF($B529="","",TEXT($B529,"mmm yyyy"))</f>
        <v/>
      </c>
    </row>
    <row r="530" ht="18" customHeight="1">
      <c r="A530" s="10" t="n"/>
      <c r="B530" s="98" t="inlineStr">
        <is>
          <t>2026-04-09</t>
        </is>
      </c>
      <c r="C530" s="99" t="inlineStr">
        <is>
          <t>SQ *JASMYNE TURNER</t>
        </is>
      </c>
      <c r="D530" s="100" t="n">
        <v>30</v>
      </c>
      <c r="E530" s="104">
        <f>IF($C530="","",IFERROR(LOOKUP(2,1/((ISNUMBER(SEARCH('Category Rules'!$B$6:$B$125,$C530)))*('Category Rules'!$B$6:$B$125&lt;&gt;"")),'Category Rules'!$C$6:$C$125),"Uncategorized"))</f>
        <v/>
      </c>
      <c r="F530" s="108" t="n"/>
      <c r="G530" s="106">
        <f>IF($C530="","",IF($F530&lt;&gt;"",$F530,$E530))</f>
        <v/>
      </c>
      <c r="H530" s="82">
        <f>IF($B530="","",TEXT($B530,"mmm yyyy"))</f>
        <v/>
      </c>
    </row>
    <row r="531" ht="18" customHeight="1">
      <c r="A531" s="14" t="n"/>
      <c r="B531" s="98" t="inlineStr">
        <is>
          <t>2026-04-09</t>
        </is>
      </c>
      <c r="C531" s="99" t="inlineStr">
        <is>
          <t>VENMO *Melissa O'Brie</t>
        </is>
      </c>
      <c r="D531" s="100" t="n">
        <v>48.29</v>
      </c>
      <c r="E531" s="101">
        <f>IF($C531="","",IFERROR(LOOKUP(2,1/((ISNUMBER(SEARCH('Category Rules'!$B$6:$B$125,$C531)))*('Category Rules'!$B$6:$B$125&lt;&gt;"")),'Category Rules'!$C$6:$C$125),"Uncategorized"))</f>
        <v/>
      </c>
      <c r="F531" s="108" t="n"/>
      <c r="G531" s="103">
        <f>IF($C531="","",IF($F531&lt;&gt;"",$F531,$E531))</f>
        <v/>
      </c>
      <c r="H531" s="85">
        <f>IF($B531="","",TEXT($B531,"mmm yyyy"))</f>
        <v/>
      </c>
    </row>
    <row r="532" ht="18" customHeight="1">
      <c r="A532" s="10" t="n"/>
      <c r="B532" s="98" t="inlineStr">
        <is>
          <t>2026-04-09</t>
        </is>
      </c>
      <c r="C532" s="99" t="inlineStr">
        <is>
          <t>JACK'S #153 OXFORD</t>
        </is>
      </c>
      <c r="D532" s="100" t="n">
        <v>8.68</v>
      </c>
      <c r="E532" s="104">
        <f>IF($C532="","",IFERROR(LOOKUP(2,1/((ISNUMBER(SEARCH('Category Rules'!$B$6:$B$125,$C532)))*('Category Rules'!$B$6:$B$125&lt;&gt;"")),'Category Rules'!$C$6:$C$125),"Uncategorized"))</f>
        <v/>
      </c>
      <c r="F532" s="108" t="n"/>
      <c r="G532" s="106">
        <f>IF($C532="","",IF($F532&lt;&gt;"",$F532,$E532))</f>
        <v/>
      </c>
      <c r="H532" s="82">
        <f>IF($B532="","",TEXT($B532,"mmm yyyy"))</f>
        <v/>
      </c>
    </row>
    <row r="533" ht="18" customHeight="1">
      <c r="A533" s="14" t="n"/>
      <c r="B533" s="98" t="inlineStr">
        <is>
          <t>2026-04-09</t>
        </is>
      </c>
      <c r="C533" s="99" t="inlineStr">
        <is>
          <t>AMAZON MKTPLACE PMTS</t>
        </is>
      </c>
      <c r="D533" s="100" t="n">
        <v>48.54</v>
      </c>
      <c r="E533" s="101">
        <f>IF($C533="","",IFERROR(LOOKUP(2,1/((ISNUMBER(SEARCH('Category Rules'!$B$6:$B$125,$C533)))*('Category Rules'!$B$6:$B$125&lt;&gt;"")),'Category Rules'!$C$6:$C$125),"Uncategorized"))</f>
        <v/>
      </c>
      <c r="F533" s="108" t="n"/>
      <c r="G533" s="103">
        <f>IF($C533="","",IF($F533&lt;&gt;"",$F533,$E533))</f>
        <v/>
      </c>
      <c r="H533" s="85">
        <f>IF($B533="","",TEXT($B533,"mmm yyyy"))</f>
        <v/>
      </c>
    </row>
    <row r="534" ht="18" customHeight="1">
      <c r="A534" s="10" t="n"/>
      <c r="B534" s="98" t="inlineStr">
        <is>
          <t>2026-04-10</t>
        </is>
      </c>
      <c r="C534" s="99" t="inlineStr">
        <is>
          <t>W. M. GROCERY</t>
        </is>
      </c>
      <c r="D534" s="100" t="n">
        <v>5.05</v>
      </c>
      <c r="E534" s="104">
        <f>IF($C534="","",IFERROR(LOOKUP(2,1/((ISNUMBER(SEARCH('Category Rules'!$B$6:$B$125,$C534)))*('Category Rules'!$B$6:$B$125&lt;&gt;"")),'Category Rules'!$C$6:$C$125),"Uncategorized"))</f>
        <v/>
      </c>
      <c r="F534" s="108" t="n"/>
      <c r="G534" s="106">
        <f>IF($C534="","",IF($F534&lt;&gt;"",$F534,$E534))</f>
        <v/>
      </c>
      <c r="H534" s="82">
        <f>IF($B534="","",TEXT($B534,"mmm yyyy"))</f>
        <v/>
      </c>
    </row>
    <row r="535" ht="18" customHeight="1">
      <c r="A535" s="14" t="n"/>
      <c r="B535" s="98" t="inlineStr">
        <is>
          <t>2026-04-10</t>
        </is>
      </c>
      <c r="C535" s="99" t="inlineStr">
        <is>
          <t>WHATABURGER 1492</t>
        </is>
      </c>
      <c r="D535" s="100" t="n">
        <v>16.49</v>
      </c>
      <c r="E535" s="101">
        <f>IF($C535="","",IFERROR(LOOKUP(2,1/((ISNUMBER(SEARCH('Category Rules'!$B$6:$B$125,$C535)))*('Category Rules'!$B$6:$B$125&lt;&gt;"")),'Category Rules'!$C$6:$C$125),"Uncategorized"))</f>
        <v/>
      </c>
      <c r="F535" s="108" t="n"/>
      <c r="G535" s="103">
        <f>IF($C535="","",IF($F535&lt;&gt;"",$F535,$E535))</f>
        <v/>
      </c>
      <c r="H535" s="85">
        <f>IF($B535="","",TEXT($B535,"mmm yyyy"))</f>
        <v/>
      </c>
    </row>
    <row r="536" ht="18" customHeight="1">
      <c r="A536" s="10" t="n"/>
      <c r="B536" s="98" t="inlineStr">
        <is>
          <t>2026-04-10</t>
        </is>
      </c>
      <c r="C536" s="99" t="inlineStr">
        <is>
          <t>TST* ROCK N ROOSTER SA</t>
        </is>
      </c>
      <c r="D536" s="100" t="n">
        <v>10.8</v>
      </c>
      <c r="E536" s="104">
        <f>IF($C536="","",IFERROR(LOOKUP(2,1/((ISNUMBER(SEARCH('Category Rules'!$B$6:$B$125,$C536)))*('Category Rules'!$B$6:$B$125&lt;&gt;"")),'Category Rules'!$C$6:$C$125),"Uncategorized"))</f>
        <v/>
      </c>
      <c r="F536" s="108" t="n"/>
      <c r="G536" s="106">
        <f>IF($C536="","",IF($F536&lt;&gt;"",$F536,$E536))</f>
        <v/>
      </c>
      <c r="H536" s="82">
        <f>IF($B536="","",TEXT($B536,"mmm yyyy"))</f>
        <v/>
      </c>
    </row>
    <row r="537" ht="18" customHeight="1">
      <c r="A537" s="14" t="n"/>
      <c r="B537" s="98" t="inlineStr">
        <is>
          <t>2026-04-11</t>
        </is>
      </c>
      <c r="C537" s="99" t="inlineStr">
        <is>
          <t>CIRCLE K # 09309 22 CH</t>
        </is>
      </c>
      <c r="D537" s="100" t="n">
        <v>83.93000000000001</v>
      </c>
      <c r="E537" s="101">
        <f>IF($C537="","",IFERROR(LOOKUP(2,1/((ISNUMBER(SEARCH('Category Rules'!$B$6:$B$125,$C537)))*('Category Rules'!$B$6:$B$125&lt;&gt;"")),'Category Rules'!$C$6:$C$125),"Uncategorized"))</f>
        <v/>
      </c>
      <c r="F537" s="108" t="n"/>
      <c r="G537" s="103">
        <f>IF($C537="","",IF($F537&lt;&gt;"",$F537,$E537))</f>
        <v/>
      </c>
      <c r="H537" s="85">
        <f>IF($B537="","",TEXT($B537,"mmm yyyy"))</f>
        <v/>
      </c>
    </row>
    <row r="538" ht="18" customHeight="1">
      <c r="A538" s="10" t="n"/>
      <c r="B538" s="98" t="inlineStr">
        <is>
          <t>2026-04-11</t>
        </is>
      </c>
      <c r="C538" s="99" t="inlineStr">
        <is>
          <t>W. M. GROCERY</t>
        </is>
      </c>
      <c r="D538" s="100" t="n">
        <v>3.77</v>
      </c>
      <c r="E538" s="104">
        <f>IF($C538="","",IFERROR(LOOKUP(2,1/((ISNUMBER(SEARCH('Category Rules'!$B$6:$B$125,$C538)))*('Category Rules'!$B$6:$B$125&lt;&gt;"")),'Category Rules'!$C$6:$C$125),"Uncategorized"))</f>
        <v/>
      </c>
      <c r="F538" s="108" t="n"/>
      <c r="G538" s="106">
        <f>IF($C538="","",IF($F538&lt;&gt;"",$F538,$E538))</f>
        <v/>
      </c>
      <c r="H538" s="82">
        <f>IF($B538="","",TEXT($B538,"mmm yyyy"))</f>
        <v/>
      </c>
    </row>
    <row r="539" ht="18" customHeight="1">
      <c r="A539" s="14" t="n"/>
      <c r="B539" s="98" t="inlineStr">
        <is>
          <t>2026-04-11</t>
        </is>
      </c>
      <c r="C539" s="99" t="inlineStr">
        <is>
          <t>TST* ROCK N ROOSTER SA</t>
        </is>
      </c>
      <c r="D539" s="100" t="n">
        <v>36.48</v>
      </c>
      <c r="E539" s="101">
        <f>IF($C539="","",IFERROR(LOOKUP(2,1/((ISNUMBER(SEARCH('Category Rules'!$B$6:$B$125,$C539)))*('Category Rules'!$B$6:$B$125&lt;&gt;"")),'Category Rules'!$C$6:$C$125),"Uncategorized"))</f>
        <v/>
      </c>
      <c r="F539" s="108" t="n"/>
      <c r="G539" s="103">
        <f>IF($C539="","",IF($F539&lt;&gt;"",$F539,$E539))</f>
        <v/>
      </c>
      <c r="H539" s="85">
        <f>IF($B539="","",TEXT($B539,"mmm yyyy"))</f>
        <v/>
      </c>
    </row>
    <row r="540" ht="18" customHeight="1">
      <c r="A540" s="10" t="n"/>
      <c r="B540" s="98" t="inlineStr">
        <is>
          <t>2026-04-11</t>
        </is>
      </c>
      <c r="C540" s="99" t="inlineStr">
        <is>
          <t>TST* ROCK N ROOSTER SA</t>
        </is>
      </c>
      <c r="D540" s="100" t="n">
        <v>5.4</v>
      </c>
      <c r="E540" s="104">
        <f>IF($C540="","",IFERROR(LOOKUP(2,1/((ISNUMBER(SEARCH('Category Rules'!$B$6:$B$125,$C540)))*('Category Rules'!$B$6:$B$125&lt;&gt;"")),'Category Rules'!$C$6:$C$125),"Uncategorized"))</f>
        <v/>
      </c>
      <c r="F540" s="108" t="n"/>
      <c r="G540" s="106">
        <f>IF($C540="","",IF($F540&lt;&gt;"",$F540,$E540))</f>
        <v/>
      </c>
      <c r="H540" s="82">
        <f>IF($B540="","",TEXT($B540,"mmm yyyy"))</f>
        <v/>
      </c>
    </row>
    <row r="541" ht="18" customHeight="1">
      <c r="A541" s="14" t="n"/>
      <c r="B541" s="98" t="inlineStr">
        <is>
          <t>2026-04-11</t>
        </is>
      </c>
      <c r="C541" s="99" t="inlineStr">
        <is>
          <t>JEFFERSONS JACKSONVILL</t>
        </is>
      </c>
      <c r="D541" s="100" t="n">
        <v>17.9</v>
      </c>
      <c r="E541" s="101">
        <f>IF($C541="","",IFERROR(LOOKUP(2,1/((ISNUMBER(SEARCH('Category Rules'!$B$6:$B$125,$C541)))*('Category Rules'!$B$6:$B$125&lt;&gt;"")),'Category Rules'!$C$6:$C$125),"Uncategorized"))</f>
        <v/>
      </c>
      <c r="F541" s="108" t="n"/>
      <c r="G541" s="103">
        <f>IF($C541="","",IF($F541&lt;&gt;"",$F541,$E541))</f>
        <v/>
      </c>
      <c r="H541" s="85">
        <f>IF($B541="","",TEXT($B541,"mmm yyyy"))</f>
        <v/>
      </c>
    </row>
    <row r="542" ht="18" customHeight="1">
      <c r="A542" s="10" t="n"/>
      <c r="B542" s="98" t="inlineStr">
        <is>
          <t>2026-04-11</t>
        </is>
      </c>
      <c r="C542" s="99" t="inlineStr">
        <is>
          <t>CANE CREEK GRILL</t>
        </is>
      </c>
      <c r="D542" s="100" t="n">
        <v>28.98</v>
      </c>
      <c r="E542" s="104">
        <f>IF($C542="","",IFERROR(LOOKUP(2,1/((ISNUMBER(SEARCH('Category Rules'!$B$6:$B$125,$C542)))*('Category Rules'!$B$6:$B$125&lt;&gt;"")),'Category Rules'!$C$6:$C$125),"Uncategorized"))</f>
        <v/>
      </c>
      <c r="F542" s="108" t="n"/>
      <c r="G542" s="106">
        <f>IF($C542="","",IF($F542&lt;&gt;"",$F542,$E542))</f>
        <v/>
      </c>
      <c r="H542" s="82">
        <f>IF($B542="","",TEXT($B542,"mmm yyyy"))</f>
        <v/>
      </c>
    </row>
    <row r="543" ht="18" customHeight="1">
      <c r="A543" s="14" t="n"/>
      <c r="B543" s="98" t="inlineStr">
        <is>
          <t>2026-04-11</t>
        </is>
      </c>
      <c r="C543" s="99" t="inlineStr">
        <is>
          <t>CANE CREEK GRILL</t>
        </is>
      </c>
      <c r="D543" s="100" t="n">
        <v>16.49</v>
      </c>
      <c r="E543" s="101">
        <f>IF($C543="","",IFERROR(LOOKUP(2,1/((ISNUMBER(SEARCH('Category Rules'!$B$6:$B$125,$C543)))*('Category Rules'!$B$6:$B$125&lt;&gt;"")),'Category Rules'!$C$6:$C$125),"Uncategorized"))</f>
        <v/>
      </c>
      <c r="F543" s="108" t="n"/>
      <c r="G543" s="103">
        <f>IF($C543="","",IF($F543&lt;&gt;"",$F543,$E543))</f>
        <v/>
      </c>
      <c r="H543" s="85">
        <f>IF($B543="","",TEXT($B543,"mmm yyyy"))</f>
        <v/>
      </c>
    </row>
    <row r="544" ht="18" customHeight="1">
      <c r="A544" s="10" t="n"/>
      <c r="B544" s="98" t="inlineStr">
        <is>
          <t>2026-04-11</t>
        </is>
      </c>
      <c r="C544" s="99" t="inlineStr">
        <is>
          <t>CIRCLE K # 09321 88810</t>
        </is>
      </c>
      <c r="D544" s="100" t="n">
        <v>20</v>
      </c>
      <c r="E544" s="104">
        <f>IF($C544="","",IFERROR(LOOKUP(2,1/((ISNUMBER(SEARCH('Category Rules'!$B$6:$B$125,$C544)))*('Category Rules'!$B$6:$B$125&lt;&gt;"")),'Category Rules'!$C$6:$C$125),"Uncategorized"))</f>
        <v/>
      </c>
      <c r="F544" s="108" t="n"/>
      <c r="G544" s="106">
        <f>IF($C544="","",IF($F544&lt;&gt;"",$F544,$E544))</f>
        <v/>
      </c>
      <c r="H544" s="82">
        <f>IF($B544="","",TEXT($B544,"mmm yyyy"))</f>
        <v/>
      </c>
    </row>
    <row r="545" ht="18" customHeight="1">
      <c r="A545" s="14" t="n"/>
      <c r="B545" s="98" t="inlineStr">
        <is>
          <t>2026-04-12</t>
        </is>
      </c>
      <c r="C545" s="99" t="inlineStr">
        <is>
          <t>COOK OUT JACKSONVILLE</t>
        </is>
      </c>
      <c r="D545" s="100" t="n">
        <v>8.789999999999999</v>
      </c>
      <c r="E545" s="101">
        <f>IF($C545="","",IFERROR(LOOKUP(2,1/((ISNUMBER(SEARCH('Category Rules'!$B$6:$B$125,$C545)))*('Category Rules'!$B$6:$B$125&lt;&gt;"")),'Category Rules'!$C$6:$C$125),"Uncategorized"))</f>
        <v/>
      </c>
      <c r="F545" s="108" t="n"/>
      <c r="G545" s="103">
        <f>IF($C545="","",IF($F545&lt;&gt;"",$F545,$E545))</f>
        <v/>
      </c>
      <c r="H545" s="85">
        <f>IF($B545="","",TEXT($B545,"mmm yyyy"))</f>
        <v/>
      </c>
    </row>
    <row r="546" ht="18" customHeight="1">
      <c r="A546" s="10" t="n"/>
      <c r="B546" s="98" t="inlineStr">
        <is>
          <t>2026-04-12</t>
        </is>
      </c>
      <c r="C546" s="99" t="inlineStr">
        <is>
          <t>WHATABURGER 1492</t>
        </is>
      </c>
      <c r="D546" s="100" t="n">
        <v>16.49</v>
      </c>
      <c r="E546" s="104">
        <f>IF($C546="","",IFERROR(LOOKUP(2,1/((ISNUMBER(SEARCH('Category Rules'!$B$6:$B$125,$C546)))*('Category Rules'!$B$6:$B$125&lt;&gt;"")),'Category Rules'!$C$6:$C$125),"Uncategorized"))</f>
        <v/>
      </c>
      <c r="F546" s="108" t="n"/>
      <c r="G546" s="106">
        <f>IF($C546="","",IF($F546&lt;&gt;"",$F546,$E546))</f>
        <v/>
      </c>
      <c r="H546" s="82">
        <f>IF($B546="","",TEXT($B546,"mmm yyyy"))</f>
        <v/>
      </c>
    </row>
    <row r="547" ht="18" customHeight="1">
      <c r="A547" s="14" t="n"/>
      <c r="B547" s="98" t="inlineStr">
        <is>
          <t>2026-04-12</t>
        </is>
      </c>
      <c r="C547" s="99" t="inlineStr">
        <is>
          <t>PIC'N SAVE #248</t>
        </is>
      </c>
      <c r="D547" s="100" t="n">
        <v>2.39</v>
      </c>
      <c r="E547" s="101">
        <f>IF($C547="","",IFERROR(LOOKUP(2,1/((ISNUMBER(SEARCH('Category Rules'!$B$6:$B$125,$C547)))*('Category Rules'!$B$6:$B$125&lt;&gt;"")),'Category Rules'!$C$6:$C$125),"Uncategorized"))</f>
        <v/>
      </c>
      <c r="F547" s="108" t="n"/>
      <c r="G547" s="103">
        <f>IF($C547="","",IF($F547&lt;&gt;"",$F547,$E547))</f>
        <v/>
      </c>
      <c r="H547" s="85">
        <f>IF($B547="","",TEXT($B547,"mmm yyyy"))</f>
        <v/>
      </c>
    </row>
    <row r="548" ht="18" customHeight="1">
      <c r="A548" s="10" t="n"/>
      <c r="B548" s="98" t="inlineStr">
        <is>
          <t>2026-04-13</t>
        </is>
      </c>
      <c r="C548" s="99" t="inlineStr">
        <is>
          <t>SITE302995 - TE</t>
        </is>
      </c>
      <c r="D548" s="100" t="n">
        <v>4.13</v>
      </c>
      <c r="E548" s="104">
        <f>IF($C548="","",IFERROR(LOOKUP(2,1/((ISNUMBER(SEARCH('Category Rules'!$B$6:$B$125,$C548)))*('Category Rules'!$B$6:$B$125&lt;&gt;"")),'Category Rules'!$C$6:$C$125),"Uncategorized"))</f>
        <v/>
      </c>
      <c r="F548" s="108" t="n"/>
      <c r="G548" s="106">
        <f>IF($C548="","",IF($F548&lt;&gt;"",$F548,$E548))</f>
        <v/>
      </c>
      <c r="H548" s="82">
        <f>IF($B548="","",TEXT($B548,"mmm yyyy"))</f>
        <v/>
      </c>
    </row>
    <row r="549" ht="18" customHeight="1">
      <c r="A549" s="14" t="n"/>
      <c r="B549" s="98" t="inlineStr">
        <is>
          <t>2026-04-13</t>
        </is>
      </c>
      <c r="C549" s="99" t="inlineStr">
        <is>
          <t>PIC'N SAVE #248</t>
        </is>
      </c>
      <c r="D549" s="100" t="n">
        <v>2.01</v>
      </c>
      <c r="E549" s="101">
        <f>IF($C549="","",IFERROR(LOOKUP(2,1/((ISNUMBER(SEARCH('Category Rules'!$B$6:$B$125,$C549)))*('Category Rules'!$B$6:$B$125&lt;&gt;"")),'Category Rules'!$C$6:$C$125),"Uncategorized"))</f>
        <v/>
      </c>
      <c r="F549" s="108" t="n"/>
      <c r="G549" s="103">
        <f>IF($C549="","",IF($F549&lt;&gt;"",$F549,$E549))</f>
        <v/>
      </c>
      <c r="H549" s="85">
        <f>IF($B549="","",TEXT($B549,"mmm yyyy"))</f>
        <v/>
      </c>
    </row>
    <row r="550" ht="18" customHeight="1">
      <c r="A550" s="10" t="n"/>
      <c r="B550" s="98" t="inlineStr">
        <is>
          <t>2026-04-13</t>
        </is>
      </c>
      <c r="C550" s="99" t="inlineStr">
        <is>
          <t>Alabama Power</t>
        </is>
      </c>
      <c r="D550" s="100" t="n">
        <v>226.71</v>
      </c>
      <c r="E550" s="104">
        <f>IF($C550="","",IFERROR(LOOKUP(2,1/((ISNUMBER(SEARCH('Category Rules'!$B$6:$B$125,$C550)))*('Category Rules'!$B$6:$B$125&lt;&gt;"")),'Category Rules'!$C$6:$C$125),"Uncategorized"))</f>
        <v/>
      </c>
      <c r="F550" s="108" t="n"/>
      <c r="G550" s="106">
        <f>IF($C550="","",IF($F550&lt;&gt;"",$F550,$E550))</f>
        <v/>
      </c>
      <c r="H550" s="82">
        <f>IF($B550="","",TEXT($B550,"mmm yyyy"))</f>
        <v/>
      </c>
    </row>
    <row r="551" ht="18" customHeight="1">
      <c r="A551" s="14" t="n"/>
      <c r="B551" s="98" t="inlineStr">
        <is>
          <t>2026-04-14</t>
        </is>
      </c>
      <c r="C551" s="99" t="inlineStr">
        <is>
          <t>SITE209611 - CH</t>
        </is>
      </c>
      <c r="D551" s="100" t="n">
        <v>32.09</v>
      </c>
      <c r="E551" s="101">
        <f>IF($C551="","",IFERROR(LOOKUP(2,1/((ISNUMBER(SEARCH('Category Rules'!$B$6:$B$125,$C551)))*('Category Rules'!$B$6:$B$125&lt;&gt;"")),'Category Rules'!$C$6:$C$125),"Uncategorized"))</f>
        <v/>
      </c>
      <c r="F551" s="108" t="n"/>
      <c r="G551" s="103">
        <f>IF($C551="","",IF($F551&lt;&gt;"",$F551,$E551))</f>
        <v/>
      </c>
      <c r="H551" s="85">
        <f>IF($B551="","",TEXT($B551,"mmm yyyy"))</f>
        <v/>
      </c>
    </row>
    <row r="552" ht="18" customHeight="1">
      <c r="A552" s="10" t="n"/>
      <c r="B552" s="98" t="inlineStr">
        <is>
          <t>2026-04-14</t>
        </is>
      </c>
      <c r="C552" s="99" t="inlineStr">
        <is>
          <t>JACK'S #203</t>
        </is>
      </c>
      <c r="D552" s="100" t="n">
        <v>4.79</v>
      </c>
      <c r="E552" s="104">
        <f>IF($C552="","",IFERROR(LOOKUP(2,1/((ISNUMBER(SEARCH('Category Rules'!$B$6:$B$125,$C552)))*('Category Rules'!$B$6:$B$125&lt;&gt;"")),'Category Rules'!$C$6:$C$125),"Uncategorized"))</f>
        <v/>
      </c>
      <c r="F552" s="108" t="n"/>
      <c r="G552" s="106">
        <f>IF($C552="","",IF($F552&lt;&gt;"",$F552,$E552))</f>
        <v/>
      </c>
      <c r="H552" s="82">
        <f>IF($B552="","",TEXT($B552,"mmm yyyy"))</f>
        <v/>
      </c>
    </row>
    <row r="553" ht="18" customHeight="1">
      <c r="A553" s="14" t="n"/>
      <c r="B553" s="98" t="inlineStr">
        <is>
          <t>2026-04-15</t>
        </is>
      </c>
      <c r="C553" s="99" t="inlineStr">
        <is>
          <t>EXPRESS OIL CHANGE</t>
        </is>
      </c>
      <c r="D553" s="100" t="n">
        <v>109.96</v>
      </c>
      <c r="E553" s="101">
        <f>IF($C553="","",IFERROR(LOOKUP(2,1/((ISNUMBER(SEARCH('Category Rules'!$B$6:$B$125,$C553)))*('Category Rules'!$B$6:$B$125&lt;&gt;"")),'Category Rules'!$C$6:$C$125),"Uncategorized"))</f>
        <v/>
      </c>
      <c r="F553" s="108" t="n"/>
      <c r="G553" s="103">
        <f>IF($C553="","",IF($F553&lt;&gt;"",$F553,$E553))</f>
        <v/>
      </c>
      <c r="H553" s="85">
        <f>IF($B553="","",TEXT($B553,"mmm yyyy"))</f>
        <v/>
      </c>
    </row>
    <row r="554" ht="18" customHeight="1">
      <c r="A554" s="10" t="n"/>
      <c r="B554" s="98" t="inlineStr">
        <is>
          <t>2026-04-15</t>
        </is>
      </c>
      <c r="C554" s="99" t="inlineStr">
        <is>
          <t>SP STEALTHHEALTHCOOK</t>
        </is>
      </c>
      <c r="D554" s="100" t="n">
        <v>59.99</v>
      </c>
      <c r="E554" s="104">
        <f>IF($C554="","",IFERROR(LOOKUP(2,1/((ISNUMBER(SEARCH('Category Rules'!$B$6:$B$125,$C554)))*('Category Rules'!$B$6:$B$125&lt;&gt;"")),'Category Rules'!$C$6:$C$125),"Uncategorized"))</f>
        <v/>
      </c>
      <c r="F554" s="108" t="n"/>
      <c r="G554" s="106">
        <f>IF($C554="","",IF($F554&lt;&gt;"",$F554,$E554))</f>
        <v/>
      </c>
      <c r="H554" s="82">
        <f>IF($B554="","",TEXT($B554,"mmm yyyy"))</f>
        <v/>
      </c>
    </row>
    <row r="555" ht="18" customHeight="1">
      <c r="A555" s="14" t="n"/>
      <c r="B555" s="98" t="inlineStr">
        <is>
          <t>2026-04-15</t>
        </is>
      </c>
      <c r="C555" s="99" t="inlineStr">
        <is>
          <t>AMAZON MKTPLACE PMTS</t>
        </is>
      </c>
      <c r="D555" s="100" t="n">
        <v>107.99</v>
      </c>
      <c r="E555" s="101">
        <f>IF($C555="","",IFERROR(LOOKUP(2,1/((ISNUMBER(SEARCH('Category Rules'!$B$6:$B$125,$C555)))*('Category Rules'!$B$6:$B$125&lt;&gt;"")),'Category Rules'!$C$6:$C$125),"Uncategorized"))</f>
        <v/>
      </c>
      <c r="F555" s="108" t="n"/>
      <c r="G555" s="103">
        <f>IF($C555="","",IF($F555&lt;&gt;"",$F555,$E555))</f>
        <v/>
      </c>
      <c r="H555" s="85">
        <f>IF($B555="","",TEXT($B555,"mmm yyyy"))</f>
        <v/>
      </c>
    </row>
    <row r="556" ht="18" customHeight="1">
      <c r="A556" s="10" t="n"/>
      <c r="B556" s="98" t="inlineStr">
        <is>
          <t>2026-04-16</t>
        </is>
      </c>
      <c r="C556" s="99" t="inlineStr">
        <is>
          <t>CIRCLE K # 09326 7665</t>
        </is>
      </c>
      <c r="D556" s="100" t="n">
        <v>82.23999999999999</v>
      </c>
      <c r="E556" s="104">
        <f>IF($C556="","",IFERROR(LOOKUP(2,1/((ISNUMBER(SEARCH('Category Rules'!$B$6:$B$125,$C556)))*('Category Rules'!$B$6:$B$125&lt;&gt;"")),'Category Rules'!$C$6:$C$125),"Uncategorized"))</f>
        <v/>
      </c>
      <c r="F556" s="108" t="n"/>
      <c r="G556" s="106">
        <f>IF($C556="","",IF($F556&lt;&gt;"",$F556,$E556))</f>
        <v/>
      </c>
      <c r="H556" s="82">
        <f>IF($B556="","",TEXT($B556,"mmm yyyy"))</f>
        <v/>
      </c>
    </row>
    <row r="557" ht="18" customHeight="1">
      <c r="A557" s="14" t="n"/>
      <c r="B557" s="98" t="inlineStr">
        <is>
          <t>2026-04-16</t>
        </is>
      </c>
      <c r="C557" s="99" t="inlineStr">
        <is>
          <t>CIRCLE K # 09326 7665</t>
        </is>
      </c>
      <c r="D557" s="100" t="n">
        <v>3.87</v>
      </c>
      <c r="E557" s="101">
        <f>IF($C557="","",IFERROR(LOOKUP(2,1/((ISNUMBER(SEARCH('Category Rules'!$B$6:$B$125,$C557)))*('Category Rules'!$B$6:$B$125&lt;&gt;"")),'Category Rules'!$C$6:$C$125),"Uncategorized"))</f>
        <v/>
      </c>
      <c r="F557" s="108" t="n"/>
      <c r="G557" s="103">
        <f>IF($C557="","",IF($F557&lt;&gt;"",$F557,$E557))</f>
        <v/>
      </c>
      <c r="H557" s="85">
        <f>IF($B557="","",TEXT($B557,"mmm yyyy"))</f>
        <v/>
      </c>
    </row>
    <row r="558" ht="18" customHeight="1">
      <c r="A558" s="10" t="n"/>
      <c r="B558" s="98" t="inlineStr">
        <is>
          <t>2026-04-16</t>
        </is>
      </c>
      <c r="C558" s="99" t="inlineStr">
        <is>
          <t>SANTIKOS AMSTAR OXF</t>
        </is>
      </c>
      <c r="D558" s="100" t="n">
        <v>13.18</v>
      </c>
      <c r="E558" s="104">
        <f>IF($C558="","",IFERROR(LOOKUP(2,1/((ISNUMBER(SEARCH('Category Rules'!$B$6:$B$125,$C558)))*('Category Rules'!$B$6:$B$125&lt;&gt;"")),'Category Rules'!$C$6:$C$125),"Uncategorized"))</f>
        <v/>
      </c>
      <c r="F558" s="108" t="n"/>
      <c r="G558" s="106">
        <f>IF($C558="","",IF($F558&lt;&gt;"",$F558,$E558))</f>
        <v/>
      </c>
      <c r="H558" s="82">
        <f>IF($B558="","",TEXT($B558,"mmm yyyy"))</f>
        <v/>
      </c>
    </row>
    <row r="559" ht="18" customHeight="1">
      <c r="A559" s="14" t="n"/>
      <c r="B559" s="98" t="inlineStr">
        <is>
          <t>2026-04-16</t>
        </is>
      </c>
      <c r="C559" s="99" t="inlineStr">
        <is>
          <t>Bojangles 0914</t>
        </is>
      </c>
      <c r="D559" s="100" t="n">
        <v>8.130000000000001</v>
      </c>
      <c r="E559" s="101">
        <f>IF($C559="","",IFERROR(LOOKUP(2,1/((ISNUMBER(SEARCH('Category Rules'!$B$6:$B$125,$C559)))*('Category Rules'!$B$6:$B$125&lt;&gt;"")),'Category Rules'!$C$6:$C$125),"Uncategorized"))</f>
        <v/>
      </c>
      <c r="F559" s="108" t="n"/>
      <c r="G559" s="103">
        <f>IF($C559="","",IF($F559&lt;&gt;"",$F559,$E559))</f>
        <v/>
      </c>
      <c r="H559" s="85">
        <f>IF($B559="","",TEXT($B559,"mmm yyyy"))</f>
        <v/>
      </c>
    </row>
    <row r="560" ht="18" customHeight="1">
      <c r="A560" s="10" t="n"/>
      <c r="B560" s="98" t="inlineStr">
        <is>
          <t>2026-04-16</t>
        </is>
      </c>
      <c r="C560" s="99" t="inlineStr">
        <is>
          <t>Baja California</t>
        </is>
      </c>
      <c r="D560" s="100" t="n">
        <v>96.48999999999999</v>
      </c>
      <c r="E560" s="104">
        <f>IF($C560="","",IFERROR(LOOKUP(2,1/((ISNUMBER(SEARCH('Category Rules'!$B$6:$B$125,$C560)))*('Category Rules'!$B$6:$B$125&lt;&gt;"")),'Category Rules'!$C$6:$C$125),"Uncategorized"))</f>
        <v/>
      </c>
      <c r="F560" s="108" t="n"/>
      <c r="G560" s="106">
        <f>IF($C560="","",IF($F560&lt;&gt;"",$F560,$E560))</f>
        <v/>
      </c>
      <c r="H560" s="82">
        <f>IF($B560="","",TEXT($B560,"mmm yyyy"))</f>
        <v/>
      </c>
    </row>
    <row r="561" ht="18" customHeight="1">
      <c r="A561" s="14" t="n"/>
      <c r="B561" s="98" t="inlineStr">
        <is>
          <t>2026-04-16</t>
        </is>
      </c>
      <c r="C561" s="99" t="inlineStr">
        <is>
          <t>CALHOUN COUNTY W</t>
        </is>
      </c>
      <c r="D561" s="100" t="n">
        <v>29.73</v>
      </c>
      <c r="E561" s="101">
        <f>IF($C561="","",IFERROR(LOOKUP(2,1/((ISNUMBER(SEARCH('Category Rules'!$B$6:$B$125,$C561)))*('Category Rules'!$B$6:$B$125&lt;&gt;"")),'Category Rules'!$C$6:$C$125),"Uncategorized"))</f>
        <v/>
      </c>
      <c r="F561" s="108" t="n"/>
      <c r="G561" s="103">
        <f>IF($C561="","",IF($F561&lt;&gt;"",$F561,$E561))</f>
        <v/>
      </c>
      <c r="H561" s="85">
        <f>IF($B561="","",TEXT($B561,"mmm yyyy"))</f>
        <v/>
      </c>
    </row>
    <row r="562" ht="18" customHeight="1">
      <c r="A562" s="10" t="n"/>
      <c r="B562" s="98" t="inlineStr">
        <is>
          <t>2026-04-17</t>
        </is>
      </c>
      <c r="C562" s="99" t="inlineStr">
        <is>
          <t>WM SUPERCENTER #300</t>
        </is>
      </c>
      <c r="D562" s="100" t="n">
        <v>10.81</v>
      </c>
      <c r="E562" s="104">
        <f>IF($C562="","",IFERROR(LOOKUP(2,1/((ISNUMBER(SEARCH('Category Rules'!$B$6:$B$125,$C562)))*('Category Rules'!$B$6:$B$125&lt;&gt;"")),'Category Rules'!$C$6:$C$125),"Uncategorized"))</f>
        <v/>
      </c>
      <c r="F562" s="108" t="n"/>
      <c r="G562" s="106">
        <f>IF($C562="","",IF($F562&lt;&gt;"",$F562,$E562))</f>
        <v/>
      </c>
      <c r="H562" s="82">
        <f>IF($B562="","",TEXT($B562,"mmm yyyy"))</f>
        <v/>
      </c>
    </row>
    <row r="563" ht="18" customHeight="1">
      <c r="A563" s="14" t="n"/>
      <c r="B563" s="98" t="inlineStr">
        <is>
          <t>2026-04-17</t>
        </is>
      </c>
      <c r="C563" s="99" t="inlineStr">
        <is>
          <t>TST* ROCK N ROOSTER SA</t>
        </is>
      </c>
      <c r="D563" s="100" t="n">
        <v>20.2</v>
      </c>
      <c r="E563" s="101">
        <f>IF($C563="","",IFERROR(LOOKUP(2,1/((ISNUMBER(SEARCH('Category Rules'!$B$6:$B$125,$C563)))*('Category Rules'!$B$6:$B$125&lt;&gt;"")),'Category Rules'!$C$6:$C$125),"Uncategorized"))</f>
        <v/>
      </c>
      <c r="F563" s="108" t="n"/>
      <c r="G563" s="103">
        <f>IF($C563="","",IF($F563&lt;&gt;"",$F563,$E563))</f>
        <v/>
      </c>
      <c r="H563" s="85">
        <f>IF($B563="","",TEXT($B563,"mmm yyyy"))</f>
        <v/>
      </c>
    </row>
    <row r="564" ht="18" customHeight="1">
      <c r="A564" s="10" t="n"/>
      <c r="B564" s="98" t="inlineStr">
        <is>
          <t>2026-04-18</t>
        </is>
      </c>
      <c r="C564" s="99" t="inlineStr">
        <is>
          <t>W. M. GROCERY</t>
        </is>
      </c>
      <c r="D564" s="100" t="n">
        <v>14.88</v>
      </c>
      <c r="E564" s="104">
        <f>IF($C564="","",IFERROR(LOOKUP(2,1/((ISNUMBER(SEARCH('Category Rules'!$B$6:$B$125,$C564)))*('Category Rules'!$B$6:$B$125&lt;&gt;"")),'Category Rules'!$C$6:$C$125),"Uncategorized"))</f>
        <v/>
      </c>
      <c r="F564" s="108" t="n"/>
      <c r="G564" s="106">
        <f>IF($C564="","",IF($F564&lt;&gt;"",$F564,$E564))</f>
        <v/>
      </c>
      <c r="H564" s="82">
        <f>IF($B564="","",TEXT($B564,"mmm yyyy"))</f>
        <v/>
      </c>
    </row>
    <row r="565" ht="18" customHeight="1">
      <c r="A565" s="14" t="n"/>
      <c r="B565" s="98" t="inlineStr">
        <is>
          <t>2026-04-18</t>
        </is>
      </c>
      <c r="C565" s="99" t="inlineStr">
        <is>
          <t>PIGGLY WIGGLY O</t>
        </is>
      </c>
      <c r="D565" s="100" t="n">
        <v>2.02</v>
      </c>
      <c r="E565" s="101">
        <f>IF($C565="","",IFERROR(LOOKUP(2,1/((ISNUMBER(SEARCH('Category Rules'!$B$6:$B$125,$C565)))*('Category Rules'!$B$6:$B$125&lt;&gt;"")),'Category Rules'!$C$6:$C$125),"Uncategorized"))</f>
        <v/>
      </c>
      <c r="F565" s="108" t="n"/>
      <c r="G565" s="103">
        <f>IF($C565="","",IF($F565&lt;&gt;"",$F565,$E565))</f>
        <v/>
      </c>
      <c r="H565" s="85">
        <f>IF($B565="","",TEXT($B565,"mmm yyyy"))</f>
        <v/>
      </c>
    </row>
    <row r="566" ht="18" customHeight="1">
      <c r="A566" s="10" t="n"/>
      <c r="B566" s="98" t="inlineStr">
        <is>
          <t>2026-04-18</t>
        </is>
      </c>
      <c r="C566" s="99" t="inlineStr">
        <is>
          <t>SQ *ADH AT THE ROOST</t>
        </is>
      </c>
      <c r="D566" s="100" t="n">
        <v>17</v>
      </c>
      <c r="E566" s="104">
        <f>IF($C566="","",IFERROR(LOOKUP(2,1/((ISNUMBER(SEARCH('Category Rules'!$B$6:$B$125,$C566)))*('Category Rules'!$B$6:$B$125&lt;&gt;"")),'Category Rules'!$C$6:$C$125),"Uncategorized"))</f>
        <v/>
      </c>
      <c r="F566" s="108" t="n"/>
      <c r="G566" s="106">
        <f>IF($C566="","",IF($F566&lt;&gt;"",$F566,$E566))</f>
        <v/>
      </c>
      <c r="H566" s="82">
        <f>IF($B566="","",TEXT($B566,"mmm yyyy"))</f>
        <v/>
      </c>
    </row>
    <row r="567" ht="18" customHeight="1">
      <c r="A567" s="14" t="n"/>
      <c r="B567" s="98" t="inlineStr">
        <is>
          <t>2026-04-18</t>
        </is>
      </c>
      <c r="C567" s="99" t="inlineStr">
        <is>
          <t>JEFFERSONS JACKSONVILL</t>
        </is>
      </c>
      <c r="D567" s="100" t="n">
        <v>30.9</v>
      </c>
      <c r="E567" s="101">
        <f>IF($C567="","",IFERROR(LOOKUP(2,1/((ISNUMBER(SEARCH('Category Rules'!$B$6:$B$125,$C567)))*('Category Rules'!$B$6:$B$125&lt;&gt;"")),'Category Rules'!$C$6:$C$125),"Uncategorized"))</f>
        <v/>
      </c>
      <c r="F567" s="108" t="n"/>
      <c r="G567" s="103">
        <f>IF($C567="","",IF($F567&lt;&gt;"",$F567,$E567))</f>
        <v/>
      </c>
      <c r="H567" s="85">
        <f>IF($B567="","",TEXT($B567,"mmm yyyy"))</f>
        <v/>
      </c>
    </row>
    <row r="568" ht="18" customHeight="1">
      <c r="A568" s="10" t="n"/>
      <c r="B568" s="98" t="inlineStr">
        <is>
          <t>2026-04-18</t>
        </is>
      </c>
      <c r="C568" s="99" t="inlineStr">
        <is>
          <t>CLAUDE.AI SUBSCRIPTION</t>
        </is>
      </c>
      <c r="D568" s="100" t="n">
        <v>20</v>
      </c>
      <c r="E568" s="104">
        <f>IF($C568="","",IFERROR(LOOKUP(2,1/((ISNUMBER(SEARCH('Category Rules'!$B$6:$B$125,$C568)))*('Category Rules'!$B$6:$B$125&lt;&gt;"")),'Category Rules'!$C$6:$C$125),"Uncategorized"))</f>
        <v/>
      </c>
      <c r="F568" s="108" t="n"/>
      <c r="G568" s="106">
        <f>IF($C568="","",IF($F568&lt;&gt;"",$F568,$E568))</f>
        <v/>
      </c>
      <c r="H568" s="82">
        <f>IF($B568="","",TEXT($B568,"mmm yyyy"))</f>
        <v/>
      </c>
    </row>
    <row r="569" ht="18" customHeight="1">
      <c r="A569" s="14" t="n"/>
      <c r="B569" s="98" t="inlineStr">
        <is>
          <t>2026-04-18</t>
        </is>
      </c>
      <c r="C569" s="99" t="inlineStr">
        <is>
          <t>TST* ROCK N ROOSTER SA</t>
        </is>
      </c>
      <c r="D569" s="100" t="n">
        <v>50.74</v>
      </c>
      <c r="E569" s="101">
        <f>IF($C569="","",IFERROR(LOOKUP(2,1/((ISNUMBER(SEARCH('Category Rules'!$B$6:$B$125,$C569)))*('Category Rules'!$B$6:$B$125&lt;&gt;"")),'Category Rules'!$C$6:$C$125),"Uncategorized"))</f>
        <v/>
      </c>
      <c r="F569" s="108" t="n"/>
      <c r="G569" s="103">
        <f>IF($C569="","",IF($F569&lt;&gt;"",$F569,$E569))</f>
        <v/>
      </c>
      <c r="H569" s="85">
        <f>IF($B569="","",TEXT($B569,"mmm yyyy"))</f>
        <v/>
      </c>
    </row>
    <row r="570" ht="18" customHeight="1">
      <c r="A570" s="10" t="n"/>
      <c r="B570" s="98" t="inlineStr">
        <is>
          <t>2026-04-19</t>
        </is>
      </c>
      <c r="C570" s="99" t="inlineStr">
        <is>
          <t>SITE356853- CHE</t>
        </is>
      </c>
      <c r="D570" s="100" t="n">
        <v>20.65</v>
      </c>
      <c r="E570" s="104">
        <f>IF($C570="","",IFERROR(LOOKUP(2,1/((ISNUMBER(SEARCH('Category Rules'!$B$6:$B$125,$C570)))*('Category Rules'!$B$6:$B$125&lt;&gt;"")),'Category Rules'!$C$6:$C$125),"Uncategorized"))</f>
        <v/>
      </c>
      <c r="F570" s="108" t="n"/>
      <c r="G570" s="106">
        <f>IF($C570="","",IF($F570&lt;&gt;"",$F570,$E570))</f>
        <v/>
      </c>
      <c r="H570" s="82">
        <f>IF($B570="","",TEXT($B570,"mmm yyyy"))</f>
        <v/>
      </c>
    </row>
    <row r="571" ht="18" customHeight="1">
      <c r="A571" s="14" t="n"/>
      <c r="B571" s="98" t="inlineStr">
        <is>
          <t>2026-04-19</t>
        </is>
      </c>
      <c r="C571" s="99" t="inlineStr">
        <is>
          <t>SITE356853- CHE</t>
        </is>
      </c>
      <c r="D571" s="100" t="n">
        <v>17.59</v>
      </c>
      <c r="E571" s="101">
        <f>IF($C571="","",IFERROR(LOOKUP(2,1/((ISNUMBER(SEARCH('Category Rules'!$B$6:$B$125,$C571)))*('Category Rules'!$B$6:$B$125&lt;&gt;"")),'Category Rules'!$C$6:$C$125),"Uncategorized"))</f>
        <v/>
      </c>
      <c r="F571" s="108" t="n"/>
      <c r="G571" s="103">
        <f>IF($C571="","",IF($F571&lt;&gt;"",$F571,$E571))</f>
        <v/>
      </c>
      <c r="H571" s="85">
        <f>IF($B571="","",TEXT($B571,"mmm yyyy"))</f>
        <v/>
      </c>
    </row>
    <row r="572" ht="18" customHeight="1">
      <c r="A572" s="10" t="n"/>
      <c r="B572" s="98" t="inlineStr">
        <is>
          <t>2026-04-19</t>
        </is>
      </c>
      <c r="C572" s="99" t="inlineStr">
        <is>
          <t>PIC'N SAVE #248</t>
        </is>
      </c>
      <c r="D572" s="100" t="n">
        <v>1.19</v>
      </c>
      <c r="E572" s="104">
        <f>IF($C572="","",IFERROR(LOOKUP(2,1/((ISNUMBER(SEARCH('Category Rules'!$B$6:$B$125,$C572)))*('Category Rules'!$B$6:$B$125&lt;&gt;"")),'Category Rules'!$C$6:$C$125),"Uncategorized"))</f>
        <v/>
      </c>
      <c r="F572" s="108" t="n"/>
      <c r="G572" s="106">
        <f>IF($C572="","",IF($F572&lt;&gt;"",$F572,$E572))</f>
        <v/>
      </c>
      <c r="H572" s="82">
        <f>IF($B572="","",TEXT($B572,"mmm yyyy"))</f>
        <v/>
      </c>
    </row>
    <row r="573" ht="18" customHeight="1">
      <c r="A573" s="14" t="n"/>
      <c r="B573" s="98" t="inlineStr">
        <is>
          <t>2026-04-19</t>
        </is>
      </c>
      <c r="C573" s="99" t="inlineStr">
        <is>
          <t>CHEVRON 0356853</t>
        </is>
      </c>
      <c r="D573" s="100" t="n">
        <v>4.2</v>
      </c>
      <c r="E573" s="101">
        <f>IF($C573="","",IFERROR(LOOKUP(2,1/((ISNUMBER(SEARCH('Category Rules'!$B$6:$B$125,$C573)))*('Category Rules'!$B$6:$B$125&lt;&gt;"")),'Category Rules'!$C$6:$C$125),"Uncategorized"))</f>
        <v/>
      </c>
      <c r="F573" s="108" t="n"/>
      <c r="G573" s="103">
        <f>IF($C573="","",IF($F573&lt;&gt;"",$F573,$E573))</f>
        <v/>
      </c>
      <c r="H573" s="85">
        <f>IF($B573="","",TEXT($B573,"mmm yyyy"))</f>
        <v/>
      </c>
    </row>
    <row r="574" ht="18" customHeight="1">
      <c r="A574" s="10" t="n"/>
      <c r="B574" s="98" t="inlineStr">
        <is>
          <t>2026-04-19</t>
        </is>
      </c>
      <c r="C574" s="99" t="inlineStr">
        <is>
          <t>CHICK-FIL-A #04457</t>
        </is>
      </c>
      <c r="D574" s="100" t="n">
        <v>22.54</v>
      </c>
      <c r="E574" s="104">
        <f>IF($C574="","",IFERROR(LOOKUP(2,1/((ISNUMBER(SEARCH('Category Rules'!$B$6:$B$125,$C574)))*('Category Rules'!$B$6:$B$125&lt;&gt;"")),'Category Rules'!$C$6:$C$125),"Uncategorized"))</f>
        <v/>
      </c>
      <c r="F574" s="108" t="n"/>
      <c r="G574" s="106">
        <f>IF($C574="","",IF($F574&lt;&gt;"",$F574,$E574))</f>
        <v/>
      </c>
      <c r="H574" s="82">
        <f>IF($B574="","",TEXT($B574,"mmm yyyy"))</f>
        <v/>
      </c>
    </row>
    <row r="575" ht="18" customHeight="1">
      <c r="A575" s="14" t="n"/>
      <c r="B575" s="98" t="inlineStr">
        <is>
          <t>2026-04-19</t>
        </is>
      </c>
      <c r="C575" s="99" t="inlineStr">
        <is>
          <t>TST* ROCK N ROOSTER SA</t>
        </is>
      </c>
      <c r="D575" s="100" t="n">
        <v>20.42</v>
      </c>
      <c r="E575" s="101">
        <f>IF($C575="","",IFERROR(LOOKUP(2,1/((ISNUMBER(SEARCH('Category Rules'!$B$6:$B$125,$C575)))*('Category Rules'!$B$6:$B$125&lt;&gt;"")),'Category Rules'!$C$6:$C$125),"Uncategorized"))</f>
        <v/>
      </c>
      <c r="F575" s="108" t="n"/>
      <c r="G575" s="103">
        <f>IF($C575="","",IF($F575&lt;&gt;"",$F575,$E575))</f>
        <v/>
      </c>
      <c r="H575" s="85">
        <f>IF($B575="","",TEXT($B575,"mmm yyyy"))</f>
        <v/>
      </c>
    </row>
    <row r="576" ht="18" customHeight="1">
      <c r="A576" s="10" t="n"/>
      <c r="B576" s="98" t="inlineStr">
        <is>
          <t>2026-04-19</t>
        </is>
      </c>
      <c r="C576" s="99" t="inlineStr">
        <is>
          <t>TST* ROCK N ROOSTER SA</t>
        </is>
      </c>
      <c r="D576" s="100" t="n">
        <v>10.4</v>
      </c>
      <c r="E576" s="104">
        <f>IF($C576="","",IFERROR(LOOKUP(2,1/((ISNUMBER(SEARCH('Category Rules'!$B$6:$B$125,$C576)))*('Category Rules'!$B$6:$B$125&lt;&gt;"")),'Category Rules'!$C$6:$C$125),"Uncategorized"))</f>
        <v/>
      </c>
      <c r="F576" s="108" t="n"/>
      <c r="G576" s="106">
        <f>IF($C576="","",IF($F576&lt;&gt;"",$F576,$E576))</f>
        <v/>
      </c>
      <c r="H576" s="82">
        <f>IF($B576="","",TEXT($B576,"mmm yyyy"))</f>
        <v/>
      </c>
    </row>
    <row r="577" ht="18" customHeight="1">
      <c r="A577" s="14" t="n"/>
      <c r="B577" s="98" t="inlineStr">
        <is>
          <t>2026-04-19</t>
        </is>
      </c>
      <c r="C577" s="99" t="inlineStr">
        <is>
          <t>TST* ROCK N ROOSTER SA</t>
        </is>
      </c>
      <c r="D577" s="100" t="n">
        <v>5.31</v>
      </c>
      <c r="E577" s="101">
        <f>IF($C577="","",IFERROR(LOOKUP(2,1/((ISNUMBER(SEARCH('Category Rules'!$B$6:$B$125,$C577)))*('Category Rules'!$B$6:$B$125&lt;&gt;"")),'Category Rules'!$C$6:$C$125),"Uncategorized"))</f>
        <v/>
      </c>
      <c r="F577" s="108" t="n"/>
      <c r="G577" s="103">
        <f>IF($C577="","",IF($F577&lt;&gt;"",$F577,$E577))</f>
        <v/>
      </c>
      <c r="H577" s="85">
        <f>IF($B577="","",TEXT($B577,"mmm yyyy"))</f>
        <v/>
      </c>
    </row>
    <row r="578" ht="18" customHeight="1">
      <c r="A578" s="10" t="n"/>
      <c r="B578" s="98" t="inlineStr">
        <is>
          <t>2026-04-19</t>
        </is>
      </c>
      <c r="C578" s="99" t="inlineStr">
        <is>
          <t>WHATABURGER 1492</t>
        </is>
      </c>
      <c r="D578" s="100" t="n">
        <v>16.49</v>
      </c>
      <c r="E578" s="104">
        <f>IF($C578="","",IFERROR(LOOKUP(2,1/((ISNUMBER(SEARCH('Category Rules'!$B$6:$B$125,$C578)))*('Category Rules'!$B$6:$B$125&lt;&gt;"")),'Category Rules'!$C$6:$C$125),"Uncategorized"))</f>
        <v/>
      </c>
      <c r="F578" s="108" t="n"/>
      <c r="G578" s="106">
        <f>IF($C578="","",IF($F578&lt;&gt;"",$F578,$E578))</f>
        <v/>
      </c>
      <c r="H578" s="82">
        <f>IF($B578="","",TEXT($B578,"mmm yyyy"))</f>
        <v/>
      </c>
    </row>
    <row r="579" ht="18" customHeight="1">
      <c r="A579" s="14" t="n"/>
      <c r="B579" s="98" t="inlineStr">
        <is>
          <t>2026-04-19</t>
        </is>
      </c>
      <c r="C579" s="99" t="inlineStr">
        <is>
          <t>ORACL*Waffle House 160</t>
        </is>
      </c>
      <c r="D579" s="100" t="n">
        <v>18.75</v>
      </c>
      <c r="E579" s="101">
        <f>IF($C579="","",IFERROR(LOOKUP(2,1/((ISNUMBER(SEARCH('Category Rules'!$B$6:$B$125,$C579)))*('Category Rules'!$B$6:$B$125&lt;&gt;"")),'Category Rules'!$C$6:$C$125),"Uncategorized"))</f>
        <v/>
      </c>
      <c r="F579" s="108" t="n"/>
      <c r="G579" s="103">
        <f>IF($C579="","",IF($F579&lt;&gt;"",$F579,$E579))</f>
        <v/>
      </c>
      <c r="H579" s="85">
        <f>IF($B579="","",TEXT($B579,"mmm yyyy"))</f>
        <v/>
      </c>
    </row>
    <row r="580" ht="18" customHeight="1">
      <c r="A580" s="10" t="n"/>
      <c r="B580" s="98" t="inlineStr">
        <is>
          <t>2026-04-20</t>
        </is>
      </c>
      <c r="C580" s="99" t="inlineStr">
        <is>
          <t>sparklightacp</t>
        </is>
      </c>
      <c r="D580" s="100" t="n">
        <v>24.95</v>
      </c>
      <c r="E580" s="104">
        <f>IF($C580="","",IFERROR(LOOKUP(2,1/((ISNUMBER(SEARCH('Category Rules'!$B$6:$B$125,$C580)))*('Category Rules'!$B$6:$B$125&lt;&gt;"")),'Category Rules'!$C$6:$C$125),"Uncategorized"))</f>
        <v/>
      </c>
      <c r="F580" s="108" t="n"/>
      <c r="G580" s="106">
        <f>IF($C580="","",IF($F580&lt;&gt;"",$F580,$E580))</f>
        <v/>
      </c>
      <c r="H580" s="82">
        <f>IF($B580="","",TEXT($B580,"mmm yyyy"))</f>
        <v/>
      </c>
    </row>
    <row r="581" ht="18" customHeight="1">
      <c r="A581" s="14" t="n"/>
      <c r="B581" s="98" t="inlineStr">
        <is>
          <t>2026-04-20</t>
        </is>
      </c>
      <c r="C581" s="99" t="inlineStr">
        <is>
          <t>PIC'N SAVE #248</t>
        </is>
      </c>
      <c r="D581" s="100" t="n">
        <v>4.39</v>
      </c>
      <c r="E581" s="101">
        <f>IF($C581="","",IFERROR(LOOKUP(2,1/((ISNUMBER(SEARCH('Category Rules'!$B$6:$B$125,$C581)))*('Category Rules'!$B$6:$B$125&lt;&gt;"")),'Category Rules'!$C$6:$C$125),"Uncategorized"))</f>
        <v/>
      </c>
      <c r="F581" s="108" t="n"/>
      <c r="G581" s="103">
        <f>IF($C581="","",IF($F581&lt;&gt;"",$F581,$E581))</f>
        <v/>
      </c>
      <c r="H581" s="85">
        <f>IF($B581="","",TEXT($B581,"mmm yyyy"))</f>
        <v/>
      </c>
    </row>
    <row r="582" ht="18" customHeight="1">
      <c r="A582" s="10" t="n"/>
      <c r="B582" s="98" t="inlineStr">
        <is>
          <t>2026-04-20</t>
        </is>
      </c>
      <c r="C582" s="99" t="inlineStr">
        <is>
          <t>PIC'N SAVE #248</t>
        </is>
      </c>
      <c r="D582" s="100" t="n">
        <v>4.83</v>
      </c>
      <c r="E582" s="104">
        <f>IF($C582="","",IFERROR(LOOKUP(2,1/((ISNUMBER(SEARCH('Category Rules'!$B$6:$B$125,$C582)))*('Category Rules'!$B$6:$B$125&lt;&gt;"")),'Category Rules'!$C$6:$C$125),"Uncategorized"))</f>
        <v/>
      </c>
      <c r="F582" s="108" t="n"/>
      <c r="G582" s="106">
        <f>IF($C582="","",IF($F582&lt;&gt;"",$F582,$E582))</f>
        <v/>
      </c>
      <c r="H582" s="82">
        <f>IF($B582="","",TEXT($B582,"mmm yyyy"))</f>
        <v/>
      </c>
    </row>
    <row r="583" ht="18" customHeight="1">
      <c r="A583" s="14" t="n"/>
      <c r="B583" s="98" t="inlineStr">
        <is>
          <t>2026-04-20</t>
        </is>
      </c>
      <c r="C583" s="99" t="inlineStr">
        <is>
          <t>WHATABURGER 1492</t>
        </is>
      </c>
      <c r="D583" s="100" t="n">
        <v>17.48</v>
      </c>
      <c r="E583" s="101">
        <f>IF($C583="","",IFERROR(LOOKUP(2,1/((ISNUMBER(SEARCH('Category Rules'!$B$6:$B$125,$C583)))*('Category Rules'!$B$6:$B$125&lt;&gt;"")),'Category Rules'!$C$6:$C$125),"Uncategorized"))</f>
        <v/>
      </c>
      <c r="F583" s="108" t="n"/>
      <c r="G583" s="103">
        <f>IF($C583="","",IF($F583&lt;&gt;"",$F583,$E583))</f>
        <v/>
      </c>
      <c r="H583" s="85">
        <f>IF($B583="","",TEXT($B583,"mmm yyyy"))</f>
        <v/>
      </c>
    </row>
    <row r="584" ht="18" customHeight="1">
      <c r="A584" s="10" t="n"/>
      <c r="B584" s="98" t="inlineStr">
        <is>
          <t>2026-04-20</t>
        </is>
      </c>
      <c r="C584" s="99" t="inlineStr">
        <is>
          <t>DAIRY QUEEN #44220</t>
        </is>
      </c>
      <c r="D584" s="100" t="n">
        <v>11.21</v>
      </c>
      <c r="E584" s="104">
        <f>IF($C584="","",IFERROR(LOOKUP(2,1/((ISNUMBER(SEARCH('Category Rules'!$B$6:$B$125,$C584)))*('Category Rules'!$B$6:$B$125&lt;&gt;"")),'Category Rules'!$C$6:$C$125),"Uncategorized"))</f>
        <v/>
      </c>
      <c r="F584" s="108" t="n"/>
      <c r="G584" s="106">
        <f>IF($C584="","",IF($F584&lt;&gt;"",$F584,$E584))</f>
        <v/>
      </c>
      <c r="H584" s="82">
        <f>IF($B584="","",TEXT($B584,"mmm yyyy"))</f>
        <v/>
      </c>
    </row>
    <row r="585" ht="18" customHeight="1">
      <c r="A585" s="14" t="n"/>
      <c r="B585" s="98" t="inlineStr">
        <is>
          <t>2026-04-21</t>
        </is>
      </c>
      <c r="C585" s="99" t="inlineStr">
        <is>
          <t>SITE356853- CHE</t>
        </is>
      </c>
      <c r="D585" s="100" t="n">
        <v>20.01</v>
      </c>
      <c r="E585" s="101">
        <f>IF($C585="","",IFERROR(LOOKUP(2,1/((ISNUMBER(SEARCH('Category Rules'!$B$6:$B$125,$C585)))*('Category Rules'!$B$6:$B$125&lt;&gt;"")),'Category Rules'!$C$6:$C$125),"Uncategorized"))</f>
        <v/>
      </c>
      <c r="F585" s="108" t="n"/>
      <c r="G585" s="103">
        <f>IF($C585="","",IF($F585&lt;&gt;"",$F585,$E585))</f>
        <v/>
      </c>
      <c r="H585" s="85">
        <f>IF($B585="","",TEXT($B585,"mmm yyyy"))</f>
        <v/>
      </c>
    </row>
    <row r="586" ht="18" customHeight="1">
      <c r="A586" s="10" t="n"/>
      <c r="B586" s="98" t="inlineStr">
        <is>
          <t>2026-04-21</t>
        </is>
      </c>
      <c r="C586" s="99" t="inlineStr">
        <is>
          <t>SITE302995 - TE</t>
        </is>
      </c>
      <c r="D586" s="100" t="n">
        <v>8.52</v>
      </c>
      <c r="E586" s="104">
        <f>IF($C586="","",IFERROR(LOOKUP(2,1/((ISNUMBER(SEARCH('Category Rules'!$B$6:$B$125,$C586)))*('Category Rules'!$B$6:$B$125&lt;&gt;"")),'Category Rules'!$C$6:$C$125),"Uncategorized"))</f>
        <v/>
      </c>
      <c r="F586" s="108" t="n"/>
      <c r="G586" s="106">
        <f>IF($C586="","",IF($F586&lt;&gt;"",$F586,$E586))</f>
        <v/>
      </c>
      <c r="H586" s="82">
        <f>IF($B586="","",TEXT($B586,"mmm yyyy"))</f>
        <v/>
      </c>
    </row>
    <row r="587" ht="18" customHeight="1">
      <c r="A587" s="14" t="n"/>
      <c r="B587" s="98" t="inlineStr">
        <is>
          <t>2026-04-21</t>
        </is>
      </c>
      <c r="C587" s="99" t="inlineStr">
        <is>
          <t>PUBLIX SUPER MAR 115 CO</t>
        </is>
      </c>
      <c r="D587" s="100" t="n">
        <v>14.11</v>
      </c>
      <c r="E587" s="101">
        <f>IF($C587="","",IFERROR(LOOKUP(2,1/((ISNUMBER(SEARCH('Category Rules'!$B$6:$B$125,$C587)))*('Category Rules'!$B$6:$B$125&lt;&gt;"")),'Category Rules'!$C$6:$C$125),"Uncategorized"))</f>
        <v/>
      </c>
      <c r="F587" s="108" t="n"/>
      <c r="G587" s="103">
        <f>IF($C587="","",IF($F587&lt;&gt;"",$F587,$E587))</f>
        <v/>
      </c>
      <c r="H587" s="85">
        <f>IF($B587="","",TEXT($B587,"mmm yyyy"))</f>
        <v/>
      </c>
    </row>
    <row r="588" ht="18" customHeight="1">
      <c r="A588" s="10" t="n"/>
      <c r="B588" s="98" t="inlineStr">
        <is>
          <t>2026-04-21</t>
        </is>
      </c>
      <c r="C588" s="99" t="inlineStr">
        <is>
          <t>PUBLIX SUPER MAR 115 CO</t>
        </is>
      </c>
      <c r="D588" s="100" t="n">
        <v>2.16</v>
      </c>
      <c r="E588" s="104">
        <f>IF($C588="","",IFERROR(LOOKUP(2,1/((ISNUMBER(SEARCH('Category Rules'!$B$6:$B$125,$C588)))*('Category Rules'!$B$6:$B$125&lt;&gt;"")),'Category Rules'!$C$6:$C$125),"Uncategorized"))</f>
        <v/>
      </c>
      <c r="F588" s="108" t="n"/>
      <c r="G588" s="106">
        <f>IF($C588="","",IF($F588&lt;&gt;"",$F588,$E588))</f>
        <v/>
      </c>
      <c r="H588" s="82">
        <f>IF($B588="","",TEXT($B588,"mmm yyyy"))</f>
        <v/>
      </c>
    </row>
    <row r="589" ht="18" customHeight="1">
      <c r="A589" s="14" t="n"/>
      <c r="B589" s="98" t="inlineStr">
        <is>
          <t>2026-04-21</t>
        </is>
      </c>
      <c r="C589" s="99" t="inlineStr">
        <is>
          <t>JACK'S #203</t>
        </is>
      </c>
      <c r="D589" s="100" t="n">
        <v>8.81</v>
      </c>
      <c r="E589" s="101">
        <f>IF($C589="","",IFERROR(LOOKUP(2,1/((ISNUMBER(SEARCH('Category Rules'!$B$6:$B$125,$C589)))*('Category Rules'!$B$6:$B$125&lt;&gt;"")),'Category Rules'!$C$6:$C$125),"Uncategorized"))</f>
        <v/>
      </c>
      <c r="F589" s="108" t="n"/>
      <c r="G589" s="103">
        <f>IF($C589="","",IF($F589&lt;&gt;"",$F589,$E589))</f>
        <v/>
      </c>
      <c r="H589" s="85">
        <f>IF($B589="","",TEXT($B589,"mmm yyyy"))</f>
        <v/>
      </c>
    </row>
    <row r="590" ht="18" customHeight="1">
      <c r="A590" s="10" t="n"/>
      <c r="B590" s="98" t="inlineStr">
        <is>
          <t>2026-04-21</t>
        </is>
      </c>
      <c r="C590" s="99" t="inlineStr">
        <is>
          <t>Bojangles 0914</t>
        </is>
      </c>
      <c r="D590" s="100" t="n">
        <v>12.96</v>
      </c>
      <c r="E590" s="104">
        <f>IF($C590="","",IFERROR(LOOKUP(2,1/((ISNUMBER(SEARCH('Category Rules'!$B$6:$B$125,$C590)))*('Category Rules'!$B$6:$B$125&lt;&gt;"")),'Category Rules'!$C$6:$C$125),"Uncategorized"))</f>
        <v/>
      </c>
      <c r="F590" s="108" t="n"/>
      <c r="G590" s="106">
        <f>IF($C590="","",IF($F590&lt;&gt;"",$F590,$E590))</f>
        <v/>
      </c>
      <c r="H590" s="82">
        <f>IF($B590="","",TEXT($B590,"mmm yyyy"))</f>
        <v/>
      </c>
    </row>
    <row r="591" ht="18" customHeight="1">
      <c r="A591" s="14" t="n"/>
      <c r="B591" s="98" t="inlineStr">
        <is>
          <t>2026-04-21</t>
        </is>
      </c>
      <c r="C591" s="99" t="inlineStr">
        <is>
          <t>MONARCH MONEY APP</t>
        </is>
      </c>
      <c r="D591" s="100" t="n">
        <v>14.99</v>
      </c>
      <c r="E591" s="101">
        <f>IF($C591="","",IFERROR(LOOKUP(2,1/((ISNUMBER(SEARCH('Category Rules'!$B$6:$B$125,$C591)))*('Category Rules'!$B$6:$B$125&lt;&gt;"")),'Category Rules'!$C$6:$C$125),"Uncategorized"))</f>
        <v/>
      </c>
      <c r="F591" s="108" t="n"/>
      <c r="G591" s="103">
        <f>IF($C591="","",IF($F591&lt;&gt;"",$F591,$E591))</f>
        <v/>
      </c>
      <c r="H591" s="85">
        <f>IF($B591="","",TEXT($B591,"mmm yyyy"))</f>
        <v/>
      </c>
    </row>
    <row r="592" ht="18" customHeight="1">
      <c r="A592" s="10" t="n"/>
      <c r="B592" s="98" t="inlineStr">
        <is>
          <t>2026-04-22</t>
        </is>
      </c>
      <c r="C592" s="99" t="inlineStr">
        <is>
          <t>EXPRESS OIL CHANGE</t>
        </is>
      </c>
      <c r="D592" s="100" t="n">
        <v>64.98999999999999</v>
      </c>
      <c r="E592" s="104">
        <f>IF($C592="","",IFERROR(LOOKUP(2,1/((ISNUMBER(SEARCH('Category Rules'!$B$6:$B$125,$C592)))*('Category Rules'!$B$6:$B$125&lt;&gt;"")),'Category Rules'!$C$6:$C$125),"Uncategorized"))</f>
        <v/>
      </c>
      <c r="F592" s="108" t="n"/>
      <c r="G592" s="106">
        <f>IF($C592="","",IF($F592&lt;&gt;"",$F592,$E592))</f>
        <v/>
      </c>
      <c r="H592" s="82">
        <f>IF($B592="","",TEXT($B592,"mmm yyyy"))</f>
        <v/>
      </c>
    </row>
    <row r="593" ht="18" customHeight="1">
      <c r="A593" s="14" t="n"/>
      <c r="B593" s="98" t="inlineStr">
        <is>
          <t>2026-04-22</t>
        </is>
      </c>
      <c r="C593" s="99" t="inlineStr">
        <is>
          <t>ESTHER HOUSE THRIFT ST</t>
        </is>
      </c>
      <c r="D593" s="100" t="n">
        <v>6</v>
      </c>
      <c r="E593" s="101">
        <f>IF($C593="","",IFERROR(LOOKUP(2,1/((ISNUMBER(SEARCH('Category Rules'!$B$6:$B$125,$C593)))*('Category Rules'!$B$6:$B$125&lt;&gt;"")),'Category Rules'!$C$6:$C$125),"Uncategorized"))</f>
        <v/>
      </c>
      <c r="F593" s="108" t="n"/>
      <c r="G593" s="103">
        <f>IF($C593="","",IF($F593&lt;&gt;"",$F593,$E593))</f>
        <v/>
      </c>
      <c r="H593" s="85">
        <f>IF($B593="","",TEXT($B593,"mmm yyyy"))</f>
        <v/>
      </c>
    </row>
    <row r="594" ht="18" customHeight="1">
      <c r="A594" s="10" t="n"/>
      <c r="B594" s="98" t="inlineStr">
        <is>
          <t>2026-04-22</t>
        </is>
      </c>
      <c r="C594" s="99" t="inlineStr">
        <is>
          <t>TACO BELL #7029147</t>
        </is>
      </c>
      <c r="D594" s="100" t="n">
        <v>8.58</v>
      </c>
      <c r="E594" s="104">
        <f>IF($C594="","",IFERROR(LOOKUP(2,1/((ISNUMBER(SEARCH('Category Rules'!$B$6:$B$125,$C594)))*('Category Rules'!$B$6:$B$125&lt;&gt;"")),'Category Rules'!$C$6:$C$125),"Uncategorized"))</f>
        <v/>
      </c>
      <c r="F594" s="108" t="n"/>
      <c r="G594" s="106">
        <f>IF($C594="","",IF($F594&lt;&gt;"",$F594,$E594))</f>
        <v/>
      </c>
      <c r="H594" s="82">
        <f>IF($B594="","",TEXT($B594,"mmm yyyy"))</f>
        <v/>
      </c>
    </row>
    <row r="595" ht="18" customHeight="1">
      <c r="A595" s="14" t="n"/>
      <c r="B595" s="98" t="inlineStr">
        <is>
          <t>2026-04-22</t>
        </is>
      </c>
      <c r="C595" s="99" t="inlineStr">
        <is>
          <t>Bojangles 0914</t>
        </is>
      </c>
      <c r="D595" s="100" t="n">
        <v>12.52</v>
      </c>
      <c r="E595" s="101">
        <f>IF($C595="","",IFERROR(LOOKUP(2,1/((ISNUMBER(SEARCH('Category Rules'!$B$6:$B$125,$C595)))*('Category Rules'!$B$6:$B$125&lt;&gt;"")),'Category Rules'!$C$6:$C$125),"Uncategorized"))</f>
        <v/>
      </c>
      <c r="F595" s="108" t="n"/>
      <c r="G595" s="103">
        <f>IF($C595="","",IF($F595&lt;&gt;"",$F595,$E595))</f>
        <v/>
      </c>
      <c r="H595" s="85">
        <f>IF($B595="","",TEXT($B595,"mmm yyyy"))</f>
        <v/>
      </c>
    </row>
    <row r="596" ht="18" customHeight="1">
      <c r="A596" s="10" t="n"/>
      <c r="B596" s="98" t="inlineStr">
        <is>
          <t>2026-04-23</t>
        </is>
      </c>
      <c r="C596" s="99" t="inlineStr">
        <is>
          <t>WM SUPERCENTER #300</t>
        </is>
      </c>
      <c r="D596" s="100" t="n">
        <v>95.14</v>
      </c>
      <c r="E596" s="104">
        <f>IF($C596="","",IFERROR(LOOKUP(2,1/((ISNUMBER(SEARCH('Category Rules'!$B$6:$B$125,$C596)))*('Category Rules'!$B$6:$B$125&lt;&gt;"")),'Category Rules'!$C$6:$C$125),"Uncategorized"))</f>
        <v/>
      </c>
      <c r="F596" s="108" t="n"/>
      <c r="G596" s="106">
        <f>IF($C596="","",IF($F596&lt;&gt;"",$F596,$E596))</f>
        <v/>
      </c>
      <c r="H596" s="82">
        <f>IF($B596="","",TEXT($B596,"mmm yyyy"))</f>
        <v/>
      </c>
    </row>
    <row r="597" ht="18" customHeight="1">
      <c r="A597" s="14" t="n"/>
      <c r="B597" s="98" t="inlineStr">
        <is>
          <t>2026-04-23</t>
        </is>
      </c>
      <c r="C597" s="99" t="inlineStr">
        <is>
          <t>MAPCO 5108 706 PELHAM R</t>
        </is>
      </c>
      <c r="D597" s="100" t="n">
        <v>81.95</v>
      </c>
      <c r="E597" s="101">
        <f>IF($C597="","",IFERROR(LOOKUP(2,1/((ISNUMBER(SEARCH('Category Rules'!$B$6:$B$125,$C597)))*('Category Rules'!$B$6:$B$125&lt;&gt;"")),'Category Rules'!$C$6:$C$125),"Uncategorized"))</f>
        <v/>
      </c>
      <c r="F597" s="108" t="n"/>
      <c r="G597" s="103">
        <f>IF($C597="","",IF($F597&lt;&gt;"",$F597,$E597))</f>
        <v/>
      </c>
      <c r="H597" s="85">
        <f>IF($B597="","",TEXT($B597,"mmm yyyy"))</f>
        <v/>
      </c>
    </row>
    <row r="598" ht="18" customHeight="1">
      <c r="A598" s="10" t="n"/>
      <c r="B598" s="98" t="inlineStr">
        <is>
          <t>2026-04-23</t>
        </is>
      </c>
      <c r="C598" s="99" t="inlineStr">
        <is>
          <t>SITE356853- CHE</t>
        </is>
      </c>
      <c r="D598" s="100" t="n">
        <v>20.68</v>
      </c>
      <c r="E598" s="104">
        <f>IF($C598="","",IFERROR(LOOKUP(2,1/((ISNUMBER(SEARCH('Category Rules'!$B$6:$B$125,$C598)))*('Category Rules'!$B$6:$B$125&lt;&gt;"")),'Category Rules'!$C$6:$C$125),"Uncategorized"))</f>
        <v/>
      </c>
      <c r="F598" s="108" t="n"/>
      <c r="G598" s="106">
        <f>IF($C598="","",IF($F598&lt;&gt;"",$F598,$E598))</f>
        <v/>
      </c>
      <c r="H598" s="82">
        <f>IF($B598="","",TEXT($B598,"mmm yyyy"))</f>
        <v/>
      </c>
    </row>
    <row r="599" ht="18" customHeight="1">
      <c r="A599" s="14" t="n"/>
      <c r="B599" s="98" t="inlineStr">
        <is>
          <t>2026-04-23</t>
        </is>
      </c>
      <c r="C599" s="99" t="inlineStr">
        <is>
          <t>STATE FARM INSURANCE</t>
        </is>
      </c>
      <c r="D599" s="100" t="n">
        <v>79.33</v>
      </c>
      <c r="E599" s="101">
        <f>IF($C599="","",IFERROR(LOOKUP(2,1/((ISNUMBER(SEARCH('Category Rules'!$B$6:$B$125,$C599)))*('Category Rules'!$B$6:$B$125&lt;&gt;"")),'Category Rules'!$C$6:$C$125),"Uncategorized"))</f>
        <v/>
      </c>
      <c r="F599" s="108" t="n"/>
      <c r="G599" s="103">
        <f>IF($C599="","",IF($F599&lt;&gt;"",$F599,$E599))</f>
        <v/>
      </c>
      <c r="H599" s="85">
        <f>IF($B599="","",TEXT($B599,"mmm yyyy"))</f>
        <v/>
      </c>
    </row>
    <row r="600" ht="18" customHeight="1">
      <c r="A600" s="10" t="n"/>
      <c r="B600" s="98" t="inlineStr">
        <is>
          <t>2026-04-23</t>
        </is>
      </c>
      <c r="C600" s="99" t="inlineStr">
        <is>
          <t>STATE FARM INSURANCE</t>
        </is>
      </c>
      <c r="D600" s="100" t="n">
        <v>189.92</v>
      </c>
      <c r="E600" s="104">
        <f>IF($C600="","",IFERROR(LOOKUP(2,1/((ISNUMBER(SEARCH('Category Rules'!$B$6:$B$125,$C600)))*('Category Rules'!$B$6:$B$125&lt;&gt;"")),'Category Rules'!$C$6:$C$125),"Uncategorized"))</f>
        <v/>
      </c>
      <c r="F600" s="108" t="n"/>
      <c r="G600" s="106">
        <f>IF($C600="","",IF($F600&lt;&gt;"",$F600,$E600))</f>
        <v/>
      </c>
      <c r="H600" s="82">
        <f>IF($B600="","",TEXT($B600,"mmm yyyy"))</f>
        <v/>
      </c>
    </row>
    <row r="601" ht="18" customHeight="1">
      <c r="A601" s="14" t="n"/>
      <c r="B601" s="98" t="inlineStr">
        <is>
          <t>2026-04-23</t>
        </is>
      </c>
      <c r="C601" s="99" t="inlineStr">
        <is>
          <t>Bojangles 0914</t>
        </is>
      </c>
      <c r="D601" s="100" t="n">
        <v>8.130000000000001</v>
      </c>
      <c r="E601" s="101">
        <f>IF($C601="","",IFERROR(LOOKUP(2,1/((ISNUMBER(SEARCH('Category Rules'!$B$6:$B$125,$C601)))*('Category Rules'!$B$6:$B$125&lt;&gt;"")),'Category Rules'!$C$6:$C$125),"Uncategorized"))</f>
        <v/>
      </c>
      <c r="F601" s="108" t="n"/>
      <c r="G601" s="103">
        <f>IF($C601="","",IF($F601&lt;&gt;"",$F601,$E601))</f>
        <v/>
      </c>
      <c r="H601" s="85">
        <f>IF($B601="","",TEXT($B601,"mmm yyyy"))</f>
        <v/>
      </c>
    </row>
    <row r="602" ht="18" customHeight="1">
      <c r="A602" s="10" t="n"/>
      <c r="B602" s="98" t="inlineStr">
        <is>
          <t>2026-04-23</t>
        </is>
      </c>
      <c r="C602" s="99" t="inlineStr">
        <is>
          <t>TACO BELL #7029147</t>
        </is>
      </c>
      <c r="D602" s="100" t="n">
        <v>8.529999999999999</v>
      </c>
      <c r="E602" s="104">
        <f>IF($C602="","",IFERROR(LOOKUP(2,1/((ISNUMBER(SEARCH('Category Rules'!$B$6:$B$125,$C602)))*('Category Rules'!$B$6:$B$125&lt;&gt;"")),'Category Rules'!$C$6:$C$125),"Uncategorized"))</f>
        <v/>
      </c>
      <c r="F602" s="108" t="n"/>
      <c r="G602" s="106">
        <f>IF($C602="","",IF($F602&lt;&gt;"",$F602,$E602))</f>
        <v/>
      </c>
      <c r="H602" s="82">
        <f>IF($B602="","",TEXT($B602,"mmm yyyy"))</f>
        <v/>
      </c>
    </row>
    <row r="603" ht="18" customHeight="1">
      <c r="A603" s="14" t="n"/>
      <c r="B603" s="98" t="inlineStr">
        <is>
          <t>2026-04-24</t>
        </is>
      </c>
      <c r="C603" s="99" t="inlineStr">
        <is>
          <t>MARATHON 235473</t>
        </is>
      </c>
      <c r="D603" s="100" t="n">
        <v>36.84</v>
      </c>
      <c r="E603" s="101">
        <f>IF($C603="","",IFERROR(LOOKUP(2,1/((ISNUMBER(SEARCH('Category Rules'!$B$6:$B$125,$C603)))*('Category Rules'!$B$6:$B$125&lt;&gt;"")),'Category Rules'!$C$6:$C$125),"Uncategorized"))</f>
        <v/>
      </c>
      <c r="F603" s="108" t="n"/>
      <c r="G603" s="103">
        <f>IF($C603="","",IF($F603&lt;&gt;"",$F603,$E603))</f>
        <v/>
      </c>
      <c r="H603" s="85">
        <f>IF($B603="","",TEXT($B603,"mmm yyyy"))</f>
        <v/>
      </c>
    </row>
    <row r="604" ht="18" customHeight="1">
      <c r="A604" s="10" t="n"/>
      <c r="B604" s="98" t="inlineStr">
        <is>
          <t>2026-04-24</t>
        </is>
      </c>
      <c r="C604" s="99" t="inlineStr">
        <is>
          <t>POPS LANDING</t>
        </is>
      </c>
      <c r="D604" s="100" t="n">
        <v>5.63</v>
      </c>
      <c r="E604" s="104">
        <f>IF($C604="","",IFERROR(LOOKUP(2,1/((ISNUMBER(SEARCH('Category Rules'!$B$6:$B$125,$C604)))*('Category Rules'!$B$6:$B$125&lt;&gt;"")),'Category Rules'!$C$6:$C$125),"Uncategorized"))</f>
        <v/>
      </c>
      <c r="F604" s="108" t="n"/>
      <c r="G604" s="106">
        <f>IF($C604="","",IF($F604&lt;&gt;"",$F604,$E604))</f>
        <v/>
      </c>
      <c r="H604" s="82">
        <f>IF($B604="","",TEXT($B604,"mmm yyyy"))</f>
        <v/>
      </c>
    </row>
    <row r="605" ht="18" customHeight="1">
      <c r="A605" s="14" t="n"/>
      <c r="B605" s="98" t="inlineStr">
        <is>
          <t>2026-04-24</t>
        </is>
      </c>
      <c r="C605" s="99" t="inlineStr">
        <is>
          <t>TST* ROCK N ROOSTER SA</t>
        </is>
      </c>
      <c r="D605" s="100" t="n">
        <v>30</v>
      </c>
      <c r="E605" s="101">
        <f>IF($C605="","",IFERROR(LOOKUP(2,1/((ISNUMBER(SEARCH('Category Rules'!$B$6:$B$125,$C605)))*('Category Rules'!$B$6:$B$125&lt;&gt;"")),'Category Rules'!$C$6:$C$125),"Uncategorized"))</f>
        <v/>
      </c>
      <c r="F605" s="108" t="n"/>
      <c r="G605" s="103">
        <f>IF($C605="","",IF($F605&lt;&gt;"",$F605,$E605))</f>
        <v/>
      </c>
      <c r="H605" s="85">
        <f>IF($B605="","",TEXT($B605,"mmm yyyy"))</f>
        <v/>
      </c>
    </row>
    <row r="606" ht="18" customHeight="1">
      <c r="A606" s="10" t="n"/>
      <c r="B606" s="98" t="inlineStr">
        <is>
          <t>2026-04-24</t>
        </is>
      </c>
      <c r="C606" s="99" t="inlineStr">
        <is>
          <t>SISTERS</t>
        </is>
      </c>
      <c r="D606" s="100" t="n">
        <v>7.86</v>
      </c>
      <c r="E606" s="104">
        <f>IF($C606="","",IFERROR(LOOKUP(2,1/((ISNUMBER(SEARCH('Category Rules'!$B$6:$B$125,$C606)))*('Category Rules'!$B$6:$B$125&lt;&gt;"")),'Category Rules'!$C$6:$C$125),"Uncategorized"))</f>
        <v/>
      </c>
      <c r="F606" s="108" t="n"/>
      <c r="G606" s="106">
        <f>IF($C606="","",IF($F606&lt;&gt;"",$F606,$E606))</f>
        <v/>
      </c>
      <c r="H606" s="82">
        <f>IF($B606="","",TEXT($B606,"mmm yyyy"))</f>
        <v/>
      </c>
    </row>
    <row r="607" ht="18" customHeight="1">
      <c r="A607" s="14" t="n"/>
      <c r="B607" s="98" t="inlineStr">
        <is>
          <t>2026-04-24</t>
        </is>
      </c>
      <c r="C607" s="99" t="inlineStr">
        <is>
          <t>WHATABURGER 1492</t>
        </is>
      </c>
      <c r="D607" s="100" t="n">
        <v>16.49</v>
      </c>
      <c r="E607" s="101">
        <f>IF($C607="","",IFERROR(LOOKUP(2,1/((ISNUMBER(SEARCH('Category Rules'!$B$6:$B$125,$C607)))*('Category Rules'!$B$6:$B$125&lt;&gt;"")),'Category Rules'!$C$6:$C$125),"Uncategorized"))</f>
        <v/>
      </c>
      <c r="F607" s="108" t="n"/>
      <c r="G607" s="103">
        <f>IF($C607="","",IF($F607&lt;&gt;"",$F607,$E607))</f>
        <v/>
      </c>
      <c r="H607" s="85">
        <f>IF($B607="","",TEXT($B607,"mmm yyyy"))</f>
        <v/>
      </c>
    </row>
    <row r="608" ht="18" customHeight="1">
      <c r="A608" s="10" t="n"/>
      <c r="B608" s="98" t="inlineStr">
        <is>
          <t>2026-04-24</t>
        </is>
      </c>
      <c r="C608" s="99" t="inlineStr">
        <is>
          <t>PIGGLY WIGGLY O</t>
        </is>
      </c>
      <c r="D608" s="100" t="n">
        <v>3.2</v>
      </c>
      <c r="E608" s="104">
        <f>IF($C608="","",IFERROR(LOOKUP(2,1/((ISNUMBER(SEARCH('Category Rules'!$B$6:$B$125,$C608)))*('Category Rules'!$B$6:$B$125&lt;&gt;"")),'Category Rules'!$C$6:$C$125),"Uncategorized"))</f>
        <v/>
      </c>
      <c r="F608" s="108" t="n"/>
      <c r="G608" s="106">
        <f>IF($C608="","",IF($F608&lt;&gt;"",$F608,$E608))</f>
        <v/>
      </c>
      <c r="H608" s="82">
        <f>IF($B608="","",TEXT($B608,"mmm yyyy"))</f>
        <v/>
      </c>
    </row>
    <row r="609" ht="18" customHeight="1">
      <c r="A609" s="14" t="n"/>
      <c r="B609" s="98" t="inlineStr">
        <is>
          <t>2026-04-25</t>
        </is>
      </c>
      <c r="C609" s="99" t="inlineStr">
        <is>
          <t>AOC FOOD MART 17</t>
        </is>
      </c>
      <c r="D609" s="100" t="n">
        <v>12.47</v>
      </c>
      <c r="E609" s="101">
        <f>IF($C609="","",IFERROR(LOOKUP(2,1/((ISNUMBER(SEARCH('Category Rules'!$B$6:$B$125,$C609)))*('Category Rules'!$B$6:$B$125&lt;&gt;"")),'Category Rules'!$C$6:$C$125),"Uncategorized"))</f>
        <v/>
      </c>
      <c r="F609" s="108" t="n"/>
      <c r="G609" s="103">
        <f>IF($C609="","",IF($F609&lt;&gt;"",$F609,$E609))</f>
        <v/>
      </c>
      <c r="H609" s="85">
        <f>IF($B609="","",TEXT($B609,"mmm yyyy"))</f>
        <v/>
      </c>
    </row>
    <row r="610" ht="18" customHeight="1">
      <c r="A610" s="10" t="n"/>
      <c r="B610" s="98" t="inlineStr">
        <is>
          <t>2026-04-25</t>
        </is>
      </c>
      <c r="C610" s="99" t="inlineStr">
        <is>
          <t>PIGGLY WIGGLY O</t>
        </is>
      </c>
      <c r="D610" s="100" t="n">
        <v>2.02</v>
      </c>
      <c r="E610" s="104">
        <f>IF($C610="","",IFERROR(LOOKUP(2,1/((ISNUMBER(SEARCH('Category Rules'!$B$6:$B$125,$C610)))*('Category Rules'!$B$6:$B$125&lt;&gt;"")),'Category Rules'!$C$6:$C$125),"Uncategorized"))</f>
        <v/>
      </c>
      <c r="F610" s="108" t="n"/>
      <c r="G610" s="106">
        <f>IF($C610="","",IF($F610&lt;&gt;"",$F610,$E610))</f>
        <v/>
      </c>
      <c r="H610" s="82">
        <f>IF($B610="","",TEXT($B610,"mmm yyyy"))</f>
        <v/>
      </c>
    </row>
    <row r="611" ht="18" customHeight="1">
      <c r="A611" s="14" t="n"/>
      <c r="B611" s="98" t="inlineStr">
        <is>
          <t>2026-04-25</t>
        </is>
      </c>
      <c r="C611" s="99" t="inlineStr">
        <is>
          <t>SQ *JASMYNE TURNER</t>
        </is>
      </c>
      <c r="D611" s="100" t="n">
        <v>30</v>
      </c>
      <c r="E611" s="101">
        <f>IF($C611="","",IFERROR(LOOKUP(2,1/((ISNUMBER(SEARCH('Category Rules'!$B$6:$B$125,$C611)))*('Category Rules'!$B$6:$B$125&lt;&gt;"")),'Category Rules'!$C$6:$C$125),"Uncategorized"))</f>
        <v/>
      </c>
      <c r="F611" s="108" t="n"/>
      <c r="G611" s="103">
        <f>IF($C611="","",IF($F611&lt;&gt;"",$F611,$E611))</f>
        <v/>
      </c>
      <c r="H611" s="85">
        <f>IF($B611="","",TEXT($B611,"mmm yyyy"))</f>
        <v/>
      </c>
    </row>
    <row r="612" ht="18" customHeight="1">
      <c r="A612" s="10" t="n"/>
      <c r="B612" s="98" t="inlineStr">
        <is>
          <t>2026-04-25</t>
        </is>
      </c>
      <c r="C612" s="99" t="inlineStr">
        <is>
          <t>WHATABURGER 1492</t>
        </is>
      </c>
      <c r="D612" s="100" t="n">
        <v>16.49</v>
      </c>
      <c r="E612" s="104">
        <f>IF($C612="","",IFERROR(LOOKUP(2,1/((ISNUMBER(SEARCH('Category Rules'!$B$6:$B$125,$C612)))*('Category Rules'!$B$6:$B$125&lt;&gt;"")),'Category Rules'!$C$6:$C$125),"Uncategorized"))</f>
        <v/>
      </c>
      <c r="F612" s="108" t="n"/>
      <c r="G612" s="106">
        <f>IF($C612="","",IF($F612&lt;&gt;"",$F612,$E612))</f>
        <v/>
      </c>
      <c r="H612" s="82">
        <f>IF($B612="","",TEXT($B612,"mmm yyyy"))</f>
        <v/>
      </c>
    </row>
    <row r="613" ht="18" customHeight="1">
      <c r="A613" s="14" t="n"/>
      <c r="B613" s="98" t="inlineStr">
        <is>
          <t>2026-04-25</t>
        </is>
      </c>
      <c r="C613" s="99" t="inlineStr">
        <is>
          <t>JEFFERSONS JACKSONVILL</t>
        </is>
      </c>
      <c r="D613" s="100" t="n">
        <v>40.4</v>
      </c>
      <c r="E613" s="101">
        <f>IF($C613="","",IFERROR(LOOKUP(2,1/((ISNUMBER(SEARCH('Category Rules'!$B$6:$B$125,$C613)))*('Category Rules'!$B$6:$B$125&lt;&gt;"")),'Category Rules'!$C$6:$C$125),"Uncategorized"))</f>
        <v/>
      </c>
      <c r="F613" s="108" t="n"/>
      <c r="G613" s="103">
        <f>IF($C613="","",IF($F613&lt;&gt;"",$F613,$E613))</f>
        <v/>
      </c>
      <c r="H613" s="85">
        <f>IF($B613="","",TEXT($B613,"mmm yyyy"))</f>
        <v/>
      </c>
    </row>
    <row r="614" ht="18" customHeight="1">
      <c r="A614" s="10" t="n"/>
      <c r="B614" s="98" t="inlineStr">
        <is>
          <t>2026-04-25</t>
        </is>
      </c>
      <c r="C614" s="99" t="inlineStr">
        <is>
          <t>TST* ROCK N ROOSTER SA</t>
        </is>
      </c>
      <c r="D614" s="100" t="n">
        <v>36.48</v>
      </c>
      <c r="E614" s="104">
        <f>IF($C614="","",IFERROR(LOOKUP(2,1/((ISNUMBER(SEARCH('Category Rules'!$B$6:$B$125,$C614)))*('Category Rules'!$B$6:$B$125&lt;&gt;"")),'Category Rules'!$C$6:$C$125),"Uncategorized"))</f>
        <v/>
      </c>
      <c r="F614" s="108" t="n"/>
      <c r="G614" s="106">
        <f>IF($C614="","",IF($F614&lt;&gt;"",$F614,$E614))</f>
        <v/>
      </c>
      <c r="H614" s="82">
        <f>IF($B614="","",TEXT($B614,"mmm yyyy"))</f>
        <v/>
      </c>
    </row>
    <row r="615" ht="18" customHeight="1">
      <c r="A615" s="14" t="n"/>
      <c r="B615" s="98" t="inlineStr">
        <is>
          <t>2026-04-25</t>
        </is>
      </c>
      <c r="C615" s="99" t="inlineStr">
        <is>
          <t>MCDONALD'S F6920</t>
        </is>
      </c>
      <c r="D615" s="100" t="n">
        <v>10.54</v>
      </c>
      <c r="E615" s="101">
        <f>IF($C615="","",IFERROR(LOOKUP(2,1/((ISNUMBER(SEARCH('Category Rules'!$B$6:$B$125,$C615)))*('Category Rules'!$B$6:$B$125&lt;&gt;"")),'Category Rules'!$C$6:$C$125),"Uncategorized"))</f>
        <v/>
      </c>
      <c r="F615" s="108" t="n"/>
      <c r="G615" s="103">
        <f>IF($C615="","",IF($F615&lt;&gt;"",$F615,$E615))</f>
        <v/>
      </c>
      <c r="H615" s="85">
        <f>IF($B615="","",TEXT($B615,"mmm yyyy"))</f>
        <v/>
      </c>
    </row>
    <row r="616" ht="18" customHeight="1">
      <c r="A616" s="10" t="n"/>
      <c r="B616" s="98" t="inlineStr">
        <is>
          <t>2026-04-25</t>
        </is>
      </c>
      <c r="C616" s="99" t="inlineStr">
        <is>
          <t>PINE HILL CC</t>
        </is>
      </c>
      <c r="D616" s="100" t="n">
        <v>33.26</v>
      </c>
      <c r="E616" s="104">
        <f>IF($C616="","",IFERROR(LOOKUP(2,1/((ISNUMBER(SEARCH('Category Rules'!$B$6:$B$125,$C616)))*('Category Rules'!$B$6:$B$125&lt;&gt;"")),'Category Rules'!$C$6:$C$125),"Uncategorized"))</f>
        <v/>
      </c>
      <c r="F616" s="108" t="n"/>
      <c r="G616" s="106">
        <f>IF($C616="","",IF($F616&lt;&gt;"",$F616,$E616))</f>
        <v/>
      </c>
      <c r="H616" s="82">
        <f>IF($B616="","",TEXT($B616,"mmm yyyy"))</f>
        <v/>
      </c>
    </row>
    <row r="617" ht="18" customHeight="1">
      <c r="A617" s="14" t="n"/>
      <c r="B617" s="98" t="inlineStr">
        <is>
          <t>2026-04-25</t>
        </is>
      </c>
      <c r="C617" s="99" t="inlineStr">
        <is>
          <t>FAIRWAYS GRILL- PH</t>
        </is>
      </c>
      <c r="D617" s="100" t="n">
        <v>15.48</v>
      </c>
      <c r="E617" s="101">
        <f>IF($C617="","",IFERROR(LOOKUP(2,1/((ISNUMBER(SEARCH('Category Rules'!$B$6:$B$125,$C617)))*('Category Rules'!$B$6:$B$125&lt;&gt;"")),'Category Rules'!$C$6:$C$125),"Uncategorized"))</f>
        <v/>
      </c>
      <c r="F617" s="108" t="n"/>
      <c r="G617" s="103">
        <f>IF($C617="","",IF($F617&lt;&gt;"",$F617,$E617))</f>
        <v/>
      </c>
      <c r="H617" s="85">
        <f>IF($B617="","",TEXT($B617,"mmm yyyy"))</f>
        <v/>
      </c>
    </row>
    <row r="618" ht="18" customHeight="1">
      <c r="A618" s="10" t="n"/>
      <c r="B618" s="98" t="inlineStr">
        <is>
          <t>2026-04-25</t>
        </is>
      </c>
      <c r="C618" s="99" t="inlineStr">
        <is>
          <t>CHICK-FIL-A #04457</t>
        </is>
      </c>
      <c r="D618" s="100" t="n">
        <v>11.72</v>
      </c>
      <c r="E618" s="104">
        <f>IF($C618="","",IFERROR(LOOKUP(2,1/((ISNUMBER(SEARCH('Category Rules'!$B$6:$B$125,$C618)))*('Category Rules'!$B$6:$B$125&lt;&gt;"")),'Category Rules'!$C$6:$C$125),"Uncategorized"))</f>
        <v/>
      </c>
      <c r="F618" s="108" t="n"/>
      <c r="G618" s="106">
        <f>IF($C618="","",IF($F618&lt;&gt;"",$F618,$E618))</f>
        <v/>
      </c>
      <c r="H618" s="82">
        <f>IF($B618="","",TEXT($B618,"mmm yyyy"))</f>
        <v/>
      </c>
    </row>
    <row r="619" ht="18" customHeight="1">
      <c r="A619" s="14" t="n"/>
      <c r="B619" s="98" t="inlineStr">
        <is>
          <t>2026-04-25</t>
        </is>
      </c>
      <c r="C619" s="99" t="inlineStr">
        <is>
          <t>PIGGLY WIGGLY O</t>
        </is>
      </c>
      <c r="D619" s="100" t="n">
        <v>2.68</v>
      </c>
      <c r="E619" s="101">
        <f>IF($C619="","",IFERROR(LOOKUP(2,1/((ISNUMBER(SEARCH('Category Rules'!$B$6:$B$125,$C619)))*('Category Rules'!$B$6:$B$125&lt;&gt;"")),'Category Rules'!$C$6:$C$125),"Uncategorized"))</f>
        <v/>
      </c>
      <c r="F619" s="108" t="n"/>
      <c r="G619" s="103">
        <f>IF($C619="","",IF($F619&lt;&gt;"",$F619,$E619))</f>
        <v/>
      </c>
      <c r="H619" s="85">
        <f>IF($B619="","",TEXT($B619,"mmm yyyy"))</f>
        <v/>
      </c>
    </row>
    <row r="620" ht="18" customHeight="1">
      <c r="A620" s="10" t="n"/>
      <c r="B620" s="98" t="inlineStr">
        <is>
          <t>2026-04-26</t>
        </is>
      </c>
      <c r="C620" s="99" t="inlineStr">
        <is>
          <t>DOLLAR GENERAL # DG 304</t>
        </is>
      </c>
      <c r="D620" s="100" t="n">
        <v>11.99</v>
      </c>
      <c r="E620" s="104">
        <f>IF($C620="","",IFERROR(LOOKUP(2,1/((ISNUMBER(SEARCH('Category Rules'!$B$6:$B$125,$C620)))*('Category Rules'!$B$6:$B$125&lt;&gt;"")),'Category Rules'!$C$6:$C$125),"Uncategorized"))</f>
        <v/>
      </c>
      <c r="F620" s="108" t="n"/>
      <c r="G620" s="106">
        <f>IF($C620="","",IF($F620&lt;&gt;"",$F620,$E620))</f>
        <v/>
      </c>
      <c r="H620" s="82">
        <f>IF($B620="","",TEXT($B620,"mmm yyyy"))</f>
        <v/>
      </c>
    </row>
    <row r="621" ht="18" customHeight="1">
      <c r="A621" s="14" t="n"/>
      <c r="B621" s="98" t="inlineStr">
        <is>
          <t>2026-04-26</t>
        </is>
      </c>
      <c r="C621" s="99" t="inlineStr">
        <is>
          <t>MARATHON 213512</t>
        </is>
      </c>
      <c r="D621" s="100" t="n">
        <v>79.31999999999999</v>
      </c>
      <c r="E621" s="101">
        <f>IF($C621="","",IFERROR(LOOKUP(2,1/((ISNUMBER(SEARCH('Category Rules'!$B$6:$B$125,$C621)))*('Category Rules'!$B$6:$B$125&lt;&gt;"")),'Category Rules'!$C$6:$C$125),"Uncategorized"))</f>
        <v/>
      </c>
      <c r="F621" s="108" t="n"/>
      <c r="G621" s="103">
        <f>IF($C621="","",IF($F621&lt;&gt;"",$F621,$E621))</f>
        <v/>
      </c>
      <c r="H621" s="85">
        <f>IF($B621="","",TEXT($B621,"mmm yyyy"))</f>
        <v/>
      </c>
    </row>
    <row r="622" ht="18" customHeight="1">
      <c r="A622" s="10" t="n"/>
      <c r="B622" s="98" t="inlineStr">
        <is>
          <t>2026-04-26</t>
        </is>
      </c>
      <c r="C622" s="99" t="inlineStr">
        <is>
          <t>WAL-MART #0432</t>
        </is>
      </c>
      <c r="D622" s="100" t="n">
        <v>1.48</v>
      </c>
      <c r="E622" s="104">
        <f>IF($C622="","",IFERROR(LOOKUP(2,1/((ISNUMBER(SEARCH('Category Rules'!$B$6:$B$125,$C622)))*('Category Rules'!$B$6:$B$125&lt;&gt;"")),'Category Rules'!$C$6:$C$125),"Uncategorized"))</f>
        <v/>
      </c>
      <c r="F622" s="108" t="n"/>
      <c r="G622" s="106">
        <f>IF($C622="","",IF($F622&lt;&gt;"",$F622,$E622))</f>
        <v/>
      </c>
      <c r="H622" s="82">
        <f>IF($B622="","",TEXT($B622,"mmm yyyy"))</f>
        <v/>
      </c>
    </row>
    <row r="623" ht="18" customHeight="1">
      <c r="A623" s="14" t="n"/>
      <c r="B623" s="98" t="inlineStr">
        <is>
          <t>2026-04-26</t>
        </is>
      </c>
      <c r="C623" s="99" t="inlineStr">
        <is>
          <t>APPLE.COM/BILL</t>
        </is>
      </c>
      <c r="D623" s="100" t="n">
        <v>0.99</v>
      </c>
      <c r="E623" s="101">
        <f>IF($C623="","",IFERROR(LOOKUP(2,1/((ISNUMBER(SEARCH('Category Rules'!$B$6:$B$125,$C623)))*('Category Rules'!$B$6:$B$125&lt;&gt;"")),'Category Rules'!$C$6:$C$125),"Uncategorized"))</f>
        <v/>
      </c>
      <c r="F623" s="108" t="n"/>
      <c r="G623" s="103">
        <f>IF($C623="","",IF($F623&lt;&gt;"",$F623,$E623))</f>
        <v/>
      </c>
      <c r="H623" s="85">
        <f>IF($B623="","",TEXT($B623,"mmm yyyy"))</f>
        <v/>
      </c>
    </row>
    <row r="624" ht="18" customHeight="1">
      <c r="A624" s="10" t="n"/>
      <c r="B624" s="98" t="inlineStr">
        <is>
          <t>2026-04-26</t>
        </is>
      </c>
      <c r="C624" s="99" t="inlineStr">
        <is>
          <t>MCDONALD'S F20286</t>
        </is>
      </c>
      <c r="D624" s="100" t="n">
        <v>6.31</v>
      </c>
      <c r="E624" s="104">
        <f>IF($C624="","",IFERROR(LOOKUP(2,1/((ISNUMBER(SEARCH('Category Rules'!$B$6:$B$125,$C624)))*('Category Rules'!$B$6:$B$125&lt;&gt;"")),'Category Rules'!$C$6:$C$125),"Uncategorized"))</f>
        <v/>
      </c>
      <c r="F624" s="108" t="n"/>
      <c r="G624" s="106">
        <f>IF($C624="","",IF($F624&lt;&gt;"",$F624,$E624))</f>
        <v/>
      </c>
      <c r="H624" s="82">
        <f>IF($B624="","",TEXT($B624,"mmm yyyy"))</f>
        <v/>
      </c>
    </row>
    <row r="625" ht="18" customHeight="1">
      <c r="A625" s="14" t="n"/>
      <c r="B625" s="98" t="inlineStr">
        <is>
          <t>2026-04-26</t>
        </is>
      </c>
      <c r="C625" s="99" t="inlineStr">
        <is>
          <t>MUNFORD FOOD MA</t>
        </is>
      </c>
      <c r="D625" s="100" t="n">
        <v>3.23</v>
      </c>
      <c r="E625" s="101">
        <f>IF($C625="","",IFERROR(LOOKUP(2,1/((ISNUMBER(SEARCH('Category Rules'!$B$6:$B$125,$C625)))*('Category Rules'!$B$6:$B$125&lt;&gt;"")),'Category Rules'!$C$6:$C$125),"Uncategorized"))</f>
        <v/>
      </c>
      <c r="F625" s="108" t="n"/>
      <c r="G625" s="103">
        <f>IF($C625="","",IF($F625&lt;&gt;"",$F625,$E625))</f>
        <v/>
      </c>
      <c r="H625" s="85">
        <f>IF($B625="","",TEXT($B625,"mmm yyyy"))</f>
        <v/>
      </c>
    </row>
    <row r="626" ht="18" customHeight="1">
      <c r="A626" s="10" t="n"/>
      <c r="B626" s="98" t="inlineStr">
        <is>
          <t>2026-04-27</t>
        </is>
      </c>
      <c r="C626" s="99" t="inlineStr">
        <is>
          <t>SITE358559 - TE</t>
        </is>
      </c>
      <c r="D626" s="100" t="n">
        <v>5.39</v>
      </c>
      <c r="E626" s="104">
        <f>IF($C626="","",IFERROR(LOOKUP(2,1/((ISNUMBER(SEARCH('Category Rules'!$B$6:$B$125,$C626)))*('Category Rules'!$B$6:$B$125&lt;&gt;"")),'Category Rules'!$C$6:$C$125),"Uncategorized"))</f>
        <v/>
      </c>
      <c r="F626" s="108" t="n"/>
      <c r="G626" s="106">
        <f>IF($C626="","",IF($F626&lt;&gt;"",$F626,$E626))</f>
        <v/>
      </c>
      <c r="H626" s="82">
        <f>IF($B626="","",TEXT($B626,"mmm yyyy"))</f>
        <v/>
      </c>
    </row>
    <row r="627" ht="18" customHeight="1">
      <c r="A627" s="14" t="n"/>
      <c r="B627" s="98" t="inlineStr">
        <is>
          <t>2026-04-27</t>
        </is>
      </c>
      <c r="C627" s="99" t="inlineStr">
        <is>
          <t>PIC'N SAVE #248</t>
        </is>
      </c>
      <c r="D627" s="100" t="n">
        <v>10.91</v>
      </c>
      <c r="E627" s="101">
        <f>IF($C627="","",IFERROR(LOOKUP(2,1/((ISNUMBER(SEARCH('Category Rules'!$B$6:$B$125,$C627)))*('Category Rules'!$B$6:$B$125&lt;&gt;"")),'Category Rules'!$C$6:$C$125),"Uncategorized"))</f>
        <v/>
      </c>
      <c r="F627" s="108" t="n"/>
      <c r="G627" s="103">
        <f>IF($C627="","",IF($F627&lt;&gt;"",$F627,$E627))</f>
        <v/>
      </c>
      <c r="H627" s="85">
        <f>IF($B627="","",TEXT($B627,"mmm yyyy"))</f>
        <v/>
      </c>
    </row>
    <row r="628" ht="18" customHeight="1">
      <c r="A628" s="10" t="n"/>
      <c r="B628" s="98" t="inlineStr">
        <is>
          <t>2026-04-27</t>
        </is>
      </c>
      <c r="C628" s="99" t="inlineStr">
        <is>
          <t>PIC'N SAVE #248</t>
        </is>
      </c>
      <c r="D628" s="100" t="n">
        <v>2.51</v>
      </c>
      <c r="E628" s="104">
        <f>IF($C628="","",IFERROR(LOOKUP(2,1/((ISNUMBER(SEARCH('Category Rules'!$B$6:$B$125,$C628)))*('Category Rules'!$B$6:$B$125&lt;&gt;"")),'Category Rules'!$C$6:$C$125),"Uncategorized"))</f>
        <v/>
      </c>
      <c r="F628" s="108" t="n"/>
      <c r="G628" s="106">
        <f>IF($C628="","",IF($F628&lt;&gt;"",$F628,$E628))</f>
        <v/>
      </c>
      <c r="H628" s="82">
        <f>IF($B628="","",TEXT($B628,"mmm yyyy"))</f>
        <v/>
      </c>
    </row>
    <row r="629" ht="18" customHeight="1">
      <c r="A629" s="14" t="n"/>
      <c r="B629" s="98" t="inlineStr">
        <is>
          <t>2026-04-27</t>
        </is>
      </c>
      <c r="C629" s="99" t="inlineStr">
        <is>
          <t>JACK'S #200</t>
        </is>
      </c>
      <c r="D629" s="100" t="n">
        <v>10.11</v>
      </c>
      <c r="E629" s="101">
        <f>IF($C629="","",IFERROR(LOOKUP(2,1/((ISNUMBER(SEARCH('Category Rules'!$B$6:$B$125,$C629)))*('Category Rules'!$B$6:$B$125&lt;&gt;"")),'Category Rules'!$C$6:$C$125),"Uncategorized"))</f>
        <v/>
      </c>
      <c r="F629" s="108" t="n"/>
      <c r="G629" s="103">
        <f>IF($C629="","",IF($F629&lt;&gt;"",$F629,$E629))</f>
        <v/>
      </c>
      <c r="H629" s="85">
        <f>IF($B629="","",TEXT($B629,"mmm yyyy"))</f>
        <v/>
      </c>
    </row>
    <row r="630" ht="18" customHeight="1">
      <c r="A630" s="10" t="n"/>
      <c r="B630" s="98" t="inlineStr">
        <is>
          <t>2026-04-27</t>
        </is>
      </c>
      <c r="C630" s="99" t="inlineStr">
        <is>
          <t>JACK'S #200</t>
        </is>
      </c>
      <c r="D630" s="100" t="n">
        <v>7.14</v>
      </c>
      <c r="E630" s="104">
        <f>IF($C630="","",IFERROR(LOOKUP(2,1/((ISNUMBER(SEARCH('Category Rules'!$B$6:$B$125,$C630)))*('Category Rules'!$B$6:$B$125&lt;&gt;"")),'Category Rules'!$C$6:$C$125),"Uncategorized"))</f>
        <v/>
      </c>
      <c r="F630" s="108" t="n"/>
      <c r="G630" s="106">
        <f>IF($C630="","",IF($F630&lt;&gt;"",$F630,$E630))</f>
        <v/>
      </c>
      <c r="H630" s="82">
        <f>IF($B630="","",TEXT($B630,"mmm yyyy"))</f>
        <v/>
      </c>
    </row>
    <row r="631" ht="18" customHeight="1">
      <c r="A631" s="14" t="n"/>
      <c r="B631" s="98" t="inlineStr">
        <is>
          <t>2026-04-28</t>
        </is>
      </c>
      <c r="C631" s="99" t="inlineStr">
        <is>
          <t>DOLLAR GENERAL # DG 304</t>
        </is>
      </c>
      <c r="D631" s="100" t="n">
        <v>11.99</v>
      </c>
      <c r="E631" s="101">
        <f>IF($C631="","",IFERROR(LOOKUP(2,1/((ISNUMBER(SEARCH('Category Rules'!$B$6:$B$125,$C631)))*('Category Rules'!$B$6:$B$125&lt;&gt;"")),'Category Rules'!$C$6:$C$125),"Uncategorized"))</f>
        <v/>
      </c>
      <c r="F631" s="108" t="n"/>
      <c r="G631" s="103">
        <f>IF($C631="","",IF($F631&lt;&gt;"",$F631,$E631))</f>
        <v/>
      </c>
      <c r="H631" s="85">
        <f>IF($B631="","",TEXT($B631,"mmm yyyy"))</f>
        <v/>
      </c>
    </row>
    <row r="632" ht="18" customHeight="1">
      <c r="A632" s="10" t="n"/>
      <c r="B632" s="98" t="inlineStr">
        <is>
          <t>2026-04-28</t>
        </is>
      </c>
      <c r="C632" s="99" t="inlineStr">
        <is>
          <t>ADVANCE AUTO PA</t>
        </is>
      </c>
      <c r="D632" s="100" t="n">
        <v>65.98999999999999</v>
      </c>
      <c r="E632" s="104">
        <f>IF($C632="","",IFERROR(LOOKUP(2,1/((ISNUMBER(SEARCH('Category Rules'!$B$6:$B$125,$C632)))*('Category Rules'!$B$6:$B$125&lt;&gt;"")),'Category Rules'!$C$6:$C$125),"Uncategorized"))</f>
        <v/>
      </c>
      <c r="F632" s="108" t="n"/>
      <c r="G632" s="106">
        <f>IF($C632="","",IF($F632&lt;&gt;"",$F632,$E632))</f>
        <v/>
      </c>
      <c r="H632" s="82">
        <f>IF($B632="","",TEXT($B632,"mmm yyyy"))</f>
        <v/>
      </c>
    </row>
    <row r="633" ht="18" customHeight="1">
      <c r="A633" s="14" t="n"/>
      <c r="B633" s="98" t="inlineStr">
        <is>
          <t>2026-04-28</t>
        </is>
      </c>
      <c r="C633" s="99" t="inlineStr">
        <is>
          <t>Harbor Freight Tools U</t>
        </is>
      </c>
      <c r="D633" s="100" t="n">
        <v>70.8</v>
      </c>
      <c r="E633" s="101">
        <f>IF($C633="","",IFERROR(LOOKUP(2,1/((ISNUMBER(SEARCH('Category Rules'!$B$6:$B$125,$C633)))*('Category Rules'!$B$6:$B$125&lt;&gt;"")),'Category Rules'!$C$6:$C$125),"Uncategorized"))</f>
        <v/>
      </c>
      <c r="F633" s="108" t="n"/>
      <c r="G633" s="103">
        <f>IF($C633="","",IF($F633&lt;&gt;"",$F633,$E633))</f>
        <v/>
      </c>
      <c r="H633" s="85">
        <f>IF($B633="","",TEXT($B633,"mmm yyyy"))</f>
        <v/>
      </c>
    </row>
    <row r="634" ht="18" customHeight="1">
      <c r="A634" s="10" t="n"/>
      <c r="B634" s="98" t="inlineStr">
        <is>
          <t>2026-04-28</t>
        </is>
      </c>
      <c r="C634" s="99" t="inlineStr">
        <is>
          <t>SITE358559 - TE</t>
        </is>
      </c>
      <c r="D634" s="100" t="n">
        <v>5.39</v>
      </c>
      <c r="E634" s="104">
        <f>IF($C634="","",IFERROR(LOOKUP(2,1/((ISNUMBER(SEARCH('Category Rules'!$B$6:$B$125,$C634)))*('Category Rules'!$B$6:$B$125&lt;&gt;"")),'Category Rules'!$C$6:$C$125),"Uncategorized"))</f>
        <v/>
      </c>
      <c r="F634" s="108" t="n"/>
      <c r="G634" s="106">
        <f>IF($C634="","",IF($F634&lt;&gt;"",$F634,$E634))</f>
        <v/>
      </c>
      <c r="H634" s="82">
        <f>IF($B634="","",TEXT($B634,"mmm yyyy"))</f>
        <v/>
      </c>
    </row>
    <row r="635" ht="18" customHeight="1">
      <c r="A635" s="14" t="n"/>
      <c r="B635" s="98" t="inlineStr">
        <is>
          <t>2026-04-28</t>
        </is>
      </c>
      <c r="C635" s="99" t="inlineStr">
        <is>
          <t>Bojangles 0914</t>
        </is>
      </c>
      <c r="D635" s="100" t="n">
        <v>13.51</v>
      </c>
      <c r="E635" s="101">
        <f>IF($C635="","",IFERROR(LOOKUP(2,1/((ISNUMBER(SEARCH('Category Rules'!$B$6:$B$125,$C635)))*('Category Rules'!$B$6:$B$125&lt;&gt;"")),'Category Rules'!$C$6:$C$125),"Uncategorized"))</f>
        <v/>
      </c>
      <c r="F635" s="108" t="n"/>
      <c r="G635" s="103">
        <f>IF($C635="","",IF($F635&lt;&gt;"",$F635,$E635))</f>
        <v/>
      </c>
      <c r="H635" s="85">
        <f>IF($B635="","",TEXT($B635,"mmm yyyy"))</f>
        <v/>
      </c>
    </row>
    <row r="636" ht="18" customHeight="1">
      <c r="A636" s="10" t="n"/>
      <c r="B636" s="98" t="inlineStr">
        <is>
          <t>2026-04-28</t>
        </is>
      </c>
      <c r="C636" s="99" t="inlineStr">
        <is>
          <t>JACK'S #203</t>
        </is>
      </c>
      <c r="D636" s="100" t="n">
        <v>7.62</v>
      </c>
      <c r="E636" s="104">
        <f>IF($C636="","",IFERROR(LOOKUP(2,1/((ISNUMBER(SEARCH('Category Rules'!$B$6:$B$125,$C636)))*('Category Rules'!$B$6:$B$125&lt;&gt;"")),'Category Rules'!$C$6:$C$125),"Uncategorized"))</f>
        <v/>
      </c>
      <c r="F636" s="108" t="n"/>
      <c r="G636" s="106">
        <f>IF($C636="","",IF($F636&lt;&gt;"",$F636,$E636))</f>
        <v/>
      </c>
      <c r="H636" s="82">
        <f>IF($B636="","",TEXT($B636,"mmm yyyy"))</f>
        <v/>
      </c>
    </row>
    <row r="637" ht="18" customHeight="1">
      <c r="A637" s="14" t="n"/>
      <c r="B637" s="98" t="inlineStr">
        <is>
          <t>2026-04-29</t>
        </is>
      </c>
      <c r="C637" s="99" t="inlineStr">
        <is>
          <t>SITE356853- CHE</t>
        </is>
      </c>
      <c r="D637" s="100" t="n">
        <v>11.43</v>
      </c>
      <c r="E637" s="101">
        <f>IF($C637="","",IFERROR(LOOKUP(2,1/((ISNUMBER(SEARCH('Category Rules'!$B$6:$B$125,$C637)))*('Category Rules'!$B$6:$B$125&lt;&gt;"")),'Category Rules'!$C$6:$C$125),"Uncategorized"))</f>
        <v/>
      </c>
      <c r="F637" s="108" t="n"/>
      <c r="G637" s="103">
        <f>IF($C637="","",IF($F637&lt;&gt;"",$F637,$E637))</f>
        <v/>
      </c>
      <c r="H637" s="85">
        <f>IF($B637="","",TEXT($B637,"mmm yyyy"))</f>
        <v/>
      </c>
    </row>
    <row r="638" ht="18" customHeight="1">
      <c r="A638" s="10" t="n"/>
      <c r="B638" s="98" t="inlineStr">
        <is>
          <t>2026-04-29</t>
        </is>
      </c>
      <c r="C638" s="99" t="inlineStr">
        <is>
          <t>TINDER</t>
        </is>
      </c>
      <c r="D638" s="100" t="n">
        <v>18.99</v>
      </c>
      <c r="E638" s="104">
        <f>IF($C638="","",IFERROR(LOOKUP(2,1/((ISNUMBER(SEARCH('Category Rules'!$B$6:$B$125,$C638)))*('Category Rules'!$B$6:$B$125&lt;&gt;"")),'Category Rules'!$C$6:$C$125),"Uncategorized"))</f>
        <v/>
      </c>
      <c r="F638" s="108" t="n"/>
      <c r="G638" s="106">
        <f>IF($C638="","",IF($F638&lt;&gt;"",$F638,$E638))</f>
        <v/>
      </c>
      <c r="H638" s="82">
        <f>IF($B638="","",TEXT($B638,"mmm yyyy"))</f>
        <v/>
      </c>
    </row>
    <row r="639" ht="18" customHeight="1">
      <c r="A639" s="14" t="n"/>
      <c r="B639" s="98" t="inlineStr">
        <is>
          <t>2026-04-29</t>
        </is>
      </c>
      <c r="C639" s="99" t="inlineStr">
        <is>
          <t>TACO BELL 737105</t>
        </is>
      </c>
      <c r="D639" s="100" t="n">
        <v>11.7</v>
      </c>
      <c r="E639" s="101">
        <f>IF($C639="","",IFERROR(LOOKUP(2,1/((ISNUMBER(SEARCH('Category Rules'!$B$6:$B$125,$C639)))*('Category Rules'!$B$6:$B$125&lt;&gt;"")),'Category Rules'!$C$6:$C$125),"Uncategorized"))</f>
        <v/>
      </c>
      <c r="F639" s="108" t="n"/>
      <c r="G639" s="103">
        <f>IF($C639="","",IF($F639&lt;&gt;"",$F639,$E639))</f>
        <v/>
      </c>
      <c r="H639" s="85">
        <f>IF($B639="","",TEXT($B639,"mmm yyyy"))</f>
        <v/>
      </c>
    </row>
    <row r="640" ht="18" customHeight="1">
      <c r="A640" s="10" t="n"/>
      <c r="B640" s="98" t="inlineStr">
        <is>
          <t>2026-04-29</t>
        </is>
      </c>
      <c r="C640" s="99" t="inlineStr">
        <is>
          <t>Bojangles 0914</t>
        </is>
      </c>
      <c r="D640" s="100" t="n">
        <v>8.68</v>
      </c>
      <c r="E640" s="104">
        <f>IF($C640="","",IFERROR(LOOKUP(2,1/((ISNUMBER(SEARCH('Category Rules'!$B$6:$B$125,$C640)))*('Category Rules'!$B$6:$B$125&lt;&gt;"")),'Category Rules'!$C$6:$C$125),"Uncategorized"))</f>
        <v/>
      </c>
      <c r="F640" s="108" t="n"/>
      <c r="G640" s="106">
        <f>IF($C640="","",IF($F640&lt;&gt;"",$F640,$E640))</f>
        <v/>
      </c>
      <c r="H640" s="82">
        <f>IF($B640="","",TEXT($B640,"mmm yyyy"))</f>
        <v/>
      </c>
    </row>
    <row r="641" ht="18" customHeight="1">
      <c r="A641" s="14" t="n"/>
      <c r="B641" s="98" t="inlineStr">
        <is>
          <t>2026-04-30</t>
        </is>
      </c>
      <c r="C641" s="99" t="inlineStr">
        <is>
          <t>SITE356853- CHE</t>
        </is>
      </c>
      <c r="D641" s="100" t="n">
        <v>6.36</v>
      </c>
      <c r="E641" s="101">
        <f>IF($C641="","",IFERROR(LOOKUP(2,1/((ISNUMBER(SEARCH('Category Rules'!$B$6:$B$125,$C641)))*('Category Rules'!$B$6:$B$125&lt;&gt;"")),'Category Rules'!$C$6:$C$125),"Uncategorized"))</f>
        <v/>
      </c>
      <c r="F641" s="108" t="n"/>
      <c r="G641" s="103">
        <f>IF($C641="","",IF($F641&lt;&gt;"",$F641,$E641))</f>
        <v/>
      </c>
      <c r="H641" s="85">
        <f>IF($B641="","",TEXT($B641,"mmm yyyy"))</f>
        <v/>
      </c>
    </row>
    <row r="642" ht="18" customHeight="1">
      <c r="A642" s="10" t="n"/>
      <c r="B642" s="98" t="inlineStr">
        <is>
          <t>2026-05-01</t>
        </is>
      </c>
      <c r="C642" s="99" t="inlineStr">
        <is>
          <t>POPS LANDING</t>
        </is>
      </c>
      <c r="D642" s="100" t="n">
        <v>35.83</v>
      </c>
      <c r="E642" s="104">
        <f>IF($C642="","",IFERROR(LOOKUP(2,1/((ISNUMBER(SEARCH('Category Rules'!$B$6:$B$125,$C642)))*('Category Rules'!$B$6:$B$125&lt;&gt;"")),'Category Rules'!$C$6:$C$125),"Uncategorized"))</f>
        <v/>
      </c>
      <c r="F642" s="108" t="n"/>
      <c r="G642" s="106">
        <f>IF($C642="","",IF($F642&lt;&gt;"",$F642,$E642))</f>
        <v/>
      </c>
      <c r="H642" s="82">
        <f>IF($B642="","",TEXT($B642,"mmm yyyy"))</f>
        <v/>
      </c>
    </row>
    <row r="643" ht="18" customHeight="1">
      <c r="A643" s="14" t="n"/>
      <c r="B643" s="98" t="inlineStr">
        <is>
          <t>2026-05-01</t>
        </is>
      </c>
      <c r="C643" s="99" t="inlineStr">
        <is>
          <t>W. M. GROCERY</t>
        </is>
      </c>
      <c r="D643" s="100" t="n">
        <v>11.65</v>
      </c>
      <c r="E643" s="101">
        <f>IF($C643="","",IFERROR(LOOKUP(2,1/((ISNUMBER(SEARCH('Category Rules'!$B$6:$B$125,$C643)))*('Category Rules'!$B$6:$B$125&lt;&gt;"")),'Category Rules'!$C$6:$C$125),"Uncategorized"))</f>
        <v/>
      </c>
      <c r="F643" s="108" t="n"/>
      <c r="G643" s="103">
        <f>IF($C643="","",IF($F643&lt;&gt;"",$F643,$E643))</f>
        <v/>
      </c>
      <c r="H643" s="85">
        <f>IF($B643="","",TEXT($B643,"mmm yyyy"))</f>
        <v/>
      </c>
    </row>
    <row r="644" ht="18" customHeight="1">
      <c r="A644" s="10" t="n"/>
      <c r="B644" s="98" t="inlineStr">
        <is>
          <t>2026-05-01</t>
        </is>
      </c>
      <c r="C644" s="99" t="inlineStr">
        <is>
          <t>W. M. GROCERY</t>
        </is>
      </c>
      <c r="D644" s="100" t="n">
        <v>3.17</v>
      </c>
      <c r="E644" s="104">
        <f>IF($C644="","",IFERROR(LOOKUP(2,1/((ISNUMBER(SEARCH('Category Rules'!$B$6:$B$125,$C644)))*('Category Rules'!$B$6:$B$125&lt;&gt;"")),'Category Rules'!$C$6:$C$125),"Uncategorized"))</f>
        <v/>
      </c>
      <c r="F644" s="108" t="n"/>
      <c r="G644" s="106">
        <f>IF($C644="","",IF($F644&lt;&gt;"",$F644,$E644))</f>
        <v/>
      </c>
      <c r="H644" s="82">
        <f>IF($B644="","",TEXT($B644,"mmm yyyy"))</f>
        <v/>
      </c>
    </row>
    <row r="645" ht="18" customHeight="1">
      <c r="A645" s="14" t="n"/>
      <c r="B645" s="98" t="inlineStr">
        <is>
          <t>2026-05-01</t>
        </is>
      </c>
      <c r="C645" s="99" t="inlineStr">
        <is>
          <t>PIGGLY WIGGLY O</t>
        </is>
      </c>
      <c r="D645" s="100" t="n">
        <v>1.75</v>
      </c>
      <c r="E645" s="101">
        <f>IF($C645="","",IFERROR(LOOKUP(2,1/((ISNUMBER(SEARCH('Category Rules'!$B$6:$B$125,$C645)))*('Category Rules'!$B$6:$B$125&lt;&gt;"")),'Category Rules'!$C$6:$C$125),"Uncategorized"))</f>
        <v/>
      </c>
      <c r="F645" s="108" t="n"/>
      <c r="G645" s="103">
        <f>IF($C645="","",IF($F645&lt;&gt;"",$F645,$E645))</f>
        <v/>
      </c>
      <c r="H645" s="85">
        <f>IF($B645="","",TEXT($B645,"mmm yyyy"))</f>
        <v/>
      </c>
    </row>
    <row r="646" ht="18" customHeight="1">
      <c r="A646" s="10" t="n"/>
      <c r="B646" s="98" t="inlineStr">
        <is>
          <t>2026-05-01</t>
        </is>
      </c>
      <c r="C646" s="99" t="inlineStr">
        <is>
          <t>PERRYLAND FOODS</t>
        </is>
      </c>
      <c r="D646" s="100" t="n">
        <v>6.59</v>
      </c>
      <c r="E646" s="104">
        <f>IF($C646="","",IFERROR(LOOKUP(2,1/((ISNUMBER(SEARCH('Category Rules'!$B$6:$B$125,$C646)))*('Category Rules'!$B$6:$B$125&lt;&gt;"")),'Category Rules'!$C$6:$C$125),"Uncategorized"))</f>
        <v/>
      </c>
      <c r="F646" s="108" t="n"/>
      <c r="G646" s="106">
        <f>IF($C646="","",IF($F646&lt;&gt;"",$F646,$E646))</f>
        <v/>
      </c>
      <c r="H646" s="82">
        <f>IF($B646="","",TEXT($B646,"mmm yyyy"))</f>
        <v/>
      </c>
    </row>
    <row r="647" ht="18" customHeight="1">
      <c r="A647" s="14" t="n"/>
      <c r="B647" s="98" t="inlineStr">
        <is>
          <t>2026-05-01</t>
        </is>
      </c>
      <c r="C647" s="99" t="inlineStr">
        <is>
          <t>TACO BELL #7029147</t>
        </is>
      </c>
      <c r="D647" s="100" t="n">
        <v>7.41</v>
      </c>
      <c r="E647" s="101">
        <f>IF($C647="","",IFERROR(LOOKUP(2,1/((ISNUMBER(SEARCH('Category Rules'!$B$6:$B$125,$C647)))*('Category Rules'!$B$6:$B$125&lt;&gt;"")),'Category Rules'!$C$6:$C$125),"Uncategorized"))</f>
        <v/>
      </c>
      <c r="F647" s="108" t="n"/>
      <c r="G647" s="103">
        <f>IF($C647="","",IF($F647&lt;&gt;"",$F647,$E647))</f>
        <v/>
      </c>
      <c r="H647" s="85">
        <f>IF($B647="","",TEXT($B647,"mmm yyyy"))</f>
        <v/>
      </c>
    </row>
    <row r="648" ht="18" customHeight="1">
      <c r="A648" s="10" t="n"/>
      <c r="B648" s="98" t="inlineStr">
        <is>
          <t>2026-05-01</t>
        </is>
      </c>
      <c r="C648" s="99" t="inlineStr">
        <is>
          <t>TST* ROCK N ROOSTER SA</t>
        </is>
      </c>
      <c r="D648" s="100" t="n">
        <v>20.96</v>
      </c>
      <c r="E648" s="104">
        <f>IF($C648="","",IFERROR(LOOKUP(2,1/((ISNUMBER(SEARCH('Category Rules'!$B$6:$B$125,$C648)))*('Category Rules'!$B$6:$B$125&lt;&gt;"")),'Category Rules'!$C$6:$C$125),"Uncategorized"))</f>
        <v/>
      </c>
      <c r="F648" s="108" t="n"/>
      <c r="G648" s="106">
        <f>IF($C648="","",IF($F648&lt;&gt;"",$F648,$E648))</f>
        <v/>
      </c>
      <c r="H648" s="82">
        <f>IF($B648="","",TEXT($B648,"mmm yyyy"))</f>
        <v/>
      </c>
    </row>
    <row r="649" ht="18" customHeight="1">
      <c r="A649" s="14" t="n"/>
      <c r="B649" s="98" t="inlineStr">
        <is>
          <t>2026-05-01</t>
        </is>
      </c>
      <c r="C649" s="99" t="inlineStr">
        <is>
          <t>ORACL*Waffle House 160</t>
        </is>
      </c>
      <c r="D649" s="100" t="n">
        <v>16</v>
      </c>
      <c r="E649" s="101">
        <f>IF($C649="","",IFERROR(LOOKUP(2,1/((ISNUMBER(SEARCH('Category Rules'!$B$6:$B$125,$C649)))*('Category Rules'!$B$6:$B$125&lt;&gt;"")),'Category Rules'!$C$6:$C$125),"Uncategorized"))</f>
        <v/>
      </c>
      <c r="F649" s="108" t="n"/>
      <c r="G649" s="103">
        <f>IF($C649="","",IF($F649&lt;&gt;"",$F649,$E649))</f>
        <v/>
      </c>
      <c r="H649" s="85">
        <f>IF($B649="","",TEXT($B649,"mmm yyyy"))</f>
        <v/>
      </c>
    </row>
    <row r="650" ht="18" customHeight="1">
      <c r="A650" s="10" t="n"/>
      <c r="B650" s="98" t="inlineStr">
        <is>
          <t>2026-05-01</t>
        </is>
      </c>
      <c r="C650" s="99" t="inlineStr">
        <is>
          <t>WHATABURGER 1492</t>
        </is>
      </c>
      <c r="D650" s="100" t="n">
        <v>16.49</v>
      </c>
      <c r="E650" s="104">
        <f>IF($C650="","",IFERROR(LOOKUP(2,1/((ISNUMBER(SEARCH('Category Rules'!$B$6:$B$125,$C650)))*('Category Rules'!$B$6:$B$125&lt;&gt;"")),'Category Rules'!$C$6:$C$125),"Uncategorized"))</f>
        <v/>
      </c>
      <c r="F650" s="108" t="n"/>
      <c r="G650" s="106">
        <f>IF($C650="","",IF($F650&lt;&gt;"",$F650,$E650))</f>
        <v/>
      </c>
      <c r="H650" s="82">
        <f>IF($B650="","",TEXT($B650,"mmm yyyy"))</f>
        <v/>
      </c>
    </row>
    <row r="651" ht="18" customHeight="1">
      <c r="A651" s="14" t="n"/>
      <c r="B651" s="98" t="inlineStr">
        <is>
          <t>2026-05-02</t>
        </is>
      </c>
      <c r="C651" s="99" t="inlineStr">
        <is>
          <t>LAKE WEDOWEE BAIT &amp; TAC</t>
        </is>
      </c>
      <c r="D651" s="100" t="n">
        <v>35.64</v>
      </c>
      <c r="E651" s="101">
        <f>IF($C651="","",IFERROR(LOOKUP(2,1/((ISNUMBER(SEARCH('Category Rules'!$B$6:$B$125,$C651)))*('Category Rules'!$B$6:$B$125&lt;&gt;"")),'Category Rules'!$C$6:$C$125),"Uncategorized"))</f>
        <v/>
      </c>
      <c r="F651" s="108" t="n"/>
      <c r="G651" s="103">
        <f>IF($C651="","",IF($F651&lt;&gt;"",$F651,$E651))</f>
        <v/>
      </c>
      <c r="H651" s="85">
        <f>IF($B651="","",TEXT($B651,"mmm yyyy"))</f>
        <v/>
      </c>
    </row>
    <row r="652" ht="18" customHeight="1">
      <c r="A652" s="10" t="n"/>
      <c r="B652" s="98" t="inlineStr">
        <is>
          <t>2026-05-02</t>
        </is>
      </c>
      <c r="C652" s="99" t="inlineStr">
        <is>
          <t>PERRYLAND FOODS</t>
        </is>
      </c>
      <c r="D652" s="100" t="n">
        <v>1.55</v>
      </c>
      <c r="E652" s="104">
        <f>IF($C652="","",IFERROR(LOOKUP(2,1/((ISNUMBER(SEARCH('Category Rules'!$B$6:$B$125,$C652)))*('Category Rules'!$B$6:$B$125&lt;&gt;"")),'Category Rules'!$C$6:$C$125),"Uncategorized"))</f>
        <v/>
      </c>
      <c r="F652" s="108" t="n"/>
      <c r="G652" s="106">
        <f>IF($C652="","",IF($F652&lt;&gt;"",$F652,$E652))</f>
        <v/>
      </c>
      <c r="H652" s="82">
        <f>IF($B652="","",TEXT($B652,"mmm yyyy"))</f>
        <v/>
      </c>
    </row>
    <row r="653" ht="18" customHeight="1">
      <c r="A653" s="14" t="n"/>
      <c r="B653" s="98" t="inlineStr">
        <is>
          <t>2026-05-02</t>
        </is>
      </c>
      <c r="C653" s="99" t="inlineStr">
        <is>
          <t>TST* ROCK N ROOSTER SA</t>
        </is>
      </c>
      <c r="D653" s="100" t="n">
        <v>10.8</v>
      </c>
      <c r="E653" s="101">
        <f>IF($C653="","",IFERROR(LOOKUP(2,1/((ISNUMBER(SEARCH('Category Rules'!$B$6:$B$125,$C653)))*('Category Rules'!$B$6:$B$125&lt;&gt;"")),'Category Rules'!$C$6:$C$125),"Uncategorized"))</f>
        <v/>
      </c>
      <c r="F653" s="108" t="n"/>
      <c r="G653" s="103">
        <f>IF($C653="","",IF($F653&lt;&gt;"",$F653,$E653))</f>
        <v/>
      </c>
      <c r="H653" s="85">
        <f>IF($B653="","",TEXT($B653,"mmm yyyy"))</f>
        <v/>
      </c>
    </row>
    <row r="654" ht="18" customHeight="1">
      <c r="A654" s="10" t="n"/>
      <c r="B654" s="98" t="inlineStr">
        <is>
          <t>2026-05-02</t>
        </is>
      </c>
      <c r="C654" s="99" t="inlineStr">
        <is>
          <t>JEFFERSON'S OF JACKSON</t>
        </is>
      </c>
      <c r="D654" s="100" t="n">
        <v>30.19</v>
      </c>
      <c r="E654" s="104">
        <f>IF($C654="","",IFERROR(LOOKUP(2,1/((ISNUMBER(SEARCH('Category Rules'!$B$6:$B$125,$C654)))*('Category Rules'!$B$6:$B$125&lt;&gt;"")),'Category Rules'!$C$6:$C$125),"Uncategorized"))</f>
        <v/>
      </c>
      <c r="F654" s="108" t="n"/>
      <c r="G654" s="106">
        <f>IF($C654="","",IF($F654&lt;&gt;"",$F654,$E654))</f>
        <v/>
      </c>
      <c r="H654" s="82">
        <f>IF($B654="","",TEXT($B654,"mmm yyyy"))</f>
        <v/>
      </c>
    </row>
    <row r="655" ht="18" customHeight="1">
      <c r="A655" s="14" t="n"/>
      <c r="B655" s="98" t="inlineStr">
        <is>
          <t>2026-05-02</t>
        </is>
      </c>
      <c r="C655" s="99" t="inlineStr">
        <is>
          <t>BREEDS FOOD MAR</t>
        </is>
      </c>
      <c r="D655" s="100" t="n">
        <v>4.76</v>
      </c>
      <c r="E655" s="101">
        <f>IF($C655="","",IFERROR(LOOKUP(2,1/((ISNUMBER(SEARCH('Category Rules'!$B$6:$B$125,$C655)))*('Category Rules'!$B$6:$B$125&lt;&gt;"")),'Category Rules'!$C$6:$C$125),"Uncategorized"))</f>
        <v/>
      </c>
      <c r="F655" s="108" t="n"/>
      <c r="G655" s="103">
        <f>IF($C655="","",IF($F655&lt;&gt;"",$F655,$E655))</f>
        <v/>
      </c>
      <c r="H655" s="85">
        <f>IF($B655="","",TEXT($B655,"mmm yyyy"))</f>
        <v/>
      </c>
    </row>
    <row r="656" ht="18" customHeight="1">
      <c r="A656" s="10" t="n"/>
      <c r="B656" s="98" t="inlineStr">
        <is>
          <t>2026-05-03</t>
        </is>
      </c>
      <c r="C656" s="99" t="inlineStr">
        <is>
          <t>WAL-MART #0300</t>
        </is>
      </c>
      <c r="D656" s="100" t="n">
        <v>12.56</v>
      </c>
      <c r="E656" s="104">
        <f>IF($C656="","",IFERROR(LOOKUP(2,1/((ISNUMBER(SEARCH('Category Rules'!$B$6:$B$125,$C656)))*('Category Rules'!$B$6:$B$125&lt;&gt;"")),'Category Rules'!$C$6:$C$125),"Uncategorized"))</f>
        <v/>
      </c>
      <c r="F656" s="108" t="n"/>
      <c r="G656" s="106">
        <f>IF($C656="","",IF($F656&lt;&gt;"",$F656,$E656))</f>
        <v/>
      </c>
      <c r="H656" s="82">
        <f>IF($B656="","",TEXT($B656,"mmm yyyy"))</f>
        <v/>
      </c>
    </row>
    <row r="657" ht="18" customHeight="1">
      <c r="A657" s="14" t="n"/>
      <c r="B657" s="98" t="inlineStr">
        <is>
          <t>2026-05-03</t>
        </is>
      </c>
      <c r="C657" s="99" t="inlineStr">
        <is>
          <t>WM SUPERCENTER #300</t>
        </is>
      </c>
      <c r="D657" s="100" t="n">
        <v>127.52</v>
      </c>
      <c r="E657" s="101">
        <f>IF($C657="","",IFERROR(LOOKUP(2,1/((ISNUMBER(SEARCH('Category Rules'!$B$6:$B$125,$C657)))*('Category Rules'!$B$6:$B$125&lt;&gt;"")),'Category Rules'!$C$6:$C$125),"Uncategorized"))</f>
        <v/>
      </c>
      <c r="F657" s="108" t="n"/>
      <c r="G657" s="103">
        <f>IF($C657="","",IF($F657&lt;&gt;"",$F657,$E657))</f>
        <v/>
      </c>
      <c r="H657" s="85">
        <f>IF($B657="","",TEXT($B657,"mmm yyyy"))</f>
        <v/>
      </c>
    </row>
    <row r="658" ht="18" customHeight="1">
      <c r="A658" s="10" t="n"/>
      <c r="B658" s="98" t="inlineStr">
        <is>
          <t>2026-05-03</t>
        </is>
      </c>
      <c r="C658" s="99" t="inlineStr">
        <is>
          <t>DOLLAR GENERAL # DG 304</t>
        </is>
      </c>
      <c r="D658" s="100" t="n">
        <v>11.99</v>
      </c>
      <c r="E658" s="104">
        <f>IF($C658="","",IFERROR(LOOKUP(2,1/((ISNUMBER(SEARCH('Category Rules'!$B$6:$B$125,$C658)))*('Category Rules'!$B$6:$B$125&lt;&gt;"")),'Category Rules'!$C$6:$C$125),"Uncategorized"))</f>
        <v/>
      </c>
      <c r="F658" s="108" t="n"/>
      <c r="G658" s="106">
        <f>IF($C658="","",IF($F658&lt;&gt;"",$F658,$E658))</f>
        <v/>
      </c>
      <c r="H658" s="82">
        <f>IF($B658="","",TEXT($B658,"mmm yyyy"))</f>
        <v/>
      </c>
    </row>
    <row r="659" ht="18" customHeight="1">
      <c r="A659" s="14" t="n"/>
      <c r="B659" s="98" t="inlineStr">
        <is>
          <t>2026-05-03</t>
        </is>
      </c>
      <c r="C659" s="99" t="inlineStr">
        <is>
          <t>SITE356853- CHE</t>
        </is>
      </c>
      <c r="D659" s="100" t="n">
        <v>20</v>
      </c>
      <c r="E659" s="101">
        <f>IF($C659="","",IFERROR(LOOKUP(2,1/((ISNUMBER(SEARCH('Category Rules'!$B$6:$B$125,$C659)))*('Category Rules'!$B$6:$B$125&lt;&gt;"")),'Category Rules'!$C$6:$C$125),"Uncategorized"))</f>
        <v/>
      </c>
      <c r="F659" s="108" t="n"/>
      <c r="G659" s="103">
        <f>IF($C659="","",IF($F659&lt;&gt;"",$F659,$E659))</f>
        <v/>
      </c>
      <c r="H659" s="85">
        <f>IF($B659="","",TEXT($B659,"mmm yyyy"))</f>
        <v/>
      </c>
    </row>
    <row r="660" ht="18" customHeight="1">
      <c r="A660" s="10" t="n"/>
      <c r="B660" s="98" t="inlineStr">
        <is>
          <t>2026-05-03</t>
        </is>
      </c>
      <c r="C660" s="99" t="inlineStr">
        <is>
          <t>DORSEY'S SUPERM</t>
        </is>
      </c>
      <c r="D660" s="100" t="n">
        <v>1.37</v>
      </c>
      <c r="E660" s="104">
        <f>IF($C660="","",IFERROR(LOOKUP(2,1/((ISNUMBER(SEARCH('Category Rules'!$B$6:$B$125,$C660)))*('Category Rules'!$B$6:$B$125&lt;&gt;"")),'Category Rules'!$C$6:$C$125),"Uncategorized"))</f>
        <v/>
      </c>
      <c r="F660" s="108" t="n"/>
      <c r="G660" s="106">
        <f>IF($C660="","",IF($F660&lt;&gt;"",$F660,$E660))</f>
        <v/>
      </c>
      <c r="H660" s="82">
        <f>IF($B660="","",TEXT($B660,"mmm yyyy"))</f>
        <v/>
      </c>
    </row>
    <row r="661" ht="18" customHeight="1">
      <c r="A661" s="14" t="n"/>
      <c r="B661" s="98" t="inlineStr">
        <is>
          <t>2026-05-03</t>
        </is>
      </c>
      <c r="C661" s="99" t="inlineStr">
        <is>
          <t>Spotify USA</t>
        </is>
      </c>
      <c r="D661" s="100" t="n">
        <v>14.03</v>
      </c>
      <c r="E661" s="101">
        <f>IF($C661="","",IFERROR(LOOKUP(2,1/((ISNUMBER(SEARCH('Category Rules'!$B$6:$B$125,$C661)))*('Category Rules'!$B$6:$B$125&lt;&gt;"")),'Category Rules'!$C$6:$C$125),"Uncategorized"))</f>
        <v/>
      </c>
      <c r="F661" s="108" t="n"/>
      <c r="G661" s="103">
        <f>IF($C661="","",IF($F661&lt;&gt;"",$F661,$E661))</f>
        <v/>
      </c>
      <c r="H661" s="85">
        <f>IF($B661="","",TEXT($B661,"mmm yyyy"))</f>
        <v/>
      </c>
    </row>
    <row r="662" ht="18" customHeight="1">
      <c r="A662" s="10" t="n"/>
      <c r="B662" s="98" t="inlineStr">
        <is>
          <t>2026-05-03</t>
        </is>
      </c>
      <c r="C662" s="99" t="inlineStr">
        <is>
          <t>TST* ROCK N ROOSTER SA</t>
        </is>
      </c>
      <c r="D662" s="100" t="n">
        <v>76.05</v>
      </c>
      <c r="E662" s="104">
        <f>IF($C662="","",IFERROR(LOOKUP(2,1/((ISNUMBER(SEARCH('Category Rules'!$B$6:$B$125,$C662)))*('Category Rules'!$B$6:$B$125&lt;&gt;"")),'Category Rules'!$C$6:$C$125),"Uncategorized"))</f>
        <v/>
      </c>
      <c r="F662" s="108" t="n"/>
      <c r="G662" s="106">
        <f>IF($C662="","",IF($F662&lt;&gt;"",$F662,$E662))</f>
        <v/>
      </c>
      <c r="H662" s="82">
        <f>IF($B662="","",TEXT($B662,"mmm yyyy"))</f>
        <v/>
      </c>
    </row>
    <row r="663" ht="18" customHeight="1">
      <c r="A663" s="14" t="n"/>
      <c r="B663" s="98" t="inlineStr">
        <is>
          <t>2026-05-03</t>
        </is>
      </c>
      <c r="C663" s="99" t="inlineStr">
        <is>
          <t>PIC'N SAVE #248</t>
        </is>
      </c>
      <c r="D663" s="100" t="n">
        <v>3.41</v>
      </c>
      <c r="E663" s="101">
        <f>IF($C663="","",IFERROR(LOOKUP(2,1/((ISNUMBER(SEARCH('Category Rules'!$B$6:$B$125,$C663)))*('Category Rules'!$B$6:$B$125&lt;&gt;"")),'Category Rules'!$C$6:$C$125),"Uncategorized"))</f>
        <v/>
      </c>
      <c r="F663" s="108" t="n"/>
      <c r="G663" s="103">
        <f>IF($C663="","",IF($F663&lt;&gt;"",$F663,$E663))</f>
        <v/>
      </c>
      <c r="H663" s="85">
        <f>IF($B663="","",TEXT($B663,"mmm yyyy"))</f>
        <v/>
      </c>
    </row>
    <row r="664" ht="18" customHeight="1">
      <c r="A664" s="10" t="n"/>
      <c r="B664" s="98" t="inlineStr">
        <is>
          <t>2026-05-04</t>
        </is>
      </c>
      <c r="C664" s="99" t="inlineStr">
        <is>
          <t>MAPCO 5108 706 PELHAM R</t>
        </is>
      </c>
      <c r="D664" s="100" t="n">
        <v>86.26000000000001</v>
      </c>
      <c r="E664" s="104">
        <f>IF($C664="","",IFERROR(LOOKUP(2,1/((ISNUMBER(SEARCH('Category Rules'!$B$6:$B$125,$C664)))*('Category Rules'!$B$6:$B$125&lt;&gt;"")),'Category Rules'!$C$6:$C$125),"Uncategorized"))</f>
        <v/>
      </c>
      <c r="F664" s="108" t="n"/>
      <c r="G664" s="106">
        <f>IF($C664="","",IF($F664&lt;&gt;"",$F664,$E664))</f>
        <v/>
      </c>
      <c r="H664" s="82">
        <f>IF($B664="","",TEXT($B664,"mmm yyyy"))</f>
        <v/>
      </c>
    </row>
    <row r="665" ht="18" customHeight="1">
      <c r="A665" s="14" t="n"/>
      <c r="B665" s="98" t="inlineStr">
        <is>
          <t>2026-05-04</t>
        </is>
      </c>
      <c r="C665" s="99" t="inlineStr">
        <is>
          <t>PIC'N SAVE #248</t>
        </is>
      </c>
      <c r="D665" s="100" t="n">
        <v>5.75</v>
      </c>
      <c r="E665" s="101">
        <f>IF($C665="","",IFERROR(LOOKUP(2,1/((ISNUMBER(SEARCH('Category Rules'!$B$6:$B$125,$C665)))*('Category Rules'!$B$6:$B$125&lt;&gt;"")),'Category Rules'!$C$6:$C$125),"Uncategorized"))</f>
        <v/>
      </c>
      <c r="F665" s="108" t="n"/>
      <c r="G665" s="103">
        <f>IF($C665="","",IF($F665&lt;&gt;"",$F665,$E665))</f>
        <v/>
      </c>
      <c r="H665" s="85">
        <f>IF($B665="","",TEXT($B665,"mmm yyyy"))</f>
        <v/>
      </c>
    </row>
    <row r="666" ht="18" customHeight="1">
      <c r="A666" s="10" t="n"/>
      <c r="B666" s="98" t="inlineStr">
        <is>
          <t>2026-05-04</t>
        </is>
      </c>
      <c r="C666" s="99" t="inlineStr">
        <is>
          <t>PIC'N SAVE #248</t>
        </is>
      </c>
      <c r="D666" s="100" t="n">
        <v>3.84</v>
      </c>
      <c r="E666" s="104">
        <f>IF($C666="","",IFERROR(LOOKUP(2,1/((ISNUMBER(SEARCH('Category Rules'!$B$6:$B$125,$C666)))*('Category Rules'!$B$6:$B$125&lt;&gt;"")),'Category Rules'!$C$6:$C$125),"Uncategorized"))</f>
        <v/>
      </c>
      <c r="F666" s="108" t="n"/>
      <c r="G666" s="106">
        <f>IF($C666="","",IF($F666&lt;&gt;"",$F666,$E666))</f>
        <v/>
      </c>
      <c r="H666" s="82">
        <f>IF($B666="","",TEXT($B666,"mmm yyyy"))</f>
        <v/>
      </c>
    </row>
    <row r="667" ht="18" customHeight="1">
      <c r="A667" s="14" t="n"/>
      <c r="B667" s="98" t="inlineStr">
        <is>
          <t>2026-05-04</t>
        </is>
      </c>
      <c r="C667" s="99" t="inlineStr">
        <is>
          <t>PIC'N SAVE #248</t>
        </is>
      </c>
      <c r="D667" s="100" t="n">
        <v>2.37</v>
      </c>
      <c r="E667" s="101">
        <f>IF($C667="","",IFERROR(LOOKUP(2,1/((ISNUMBER(SEARCH('Category Rules'!$B$6:$B$125,$C667)))*('Category Rules'!$B$6:$B$125&lt;&gt;"")),'Category Rules'!$C$6:$C$125),"Uncategorized"))</f>
        <v/>
      </c>
      <c r="F667" s="108" t="n"/>
      <c r="G667" s="103">
        <f>IF($C667="","",IF($F667&lt;&gt;"",$F667,$E667))</f>
        <v/>
      </c>
      <c r="H667" s="85">
        <f>IF($B667="","",TEXT($B667,"mmm yyyy"))</f>
        <v/>
      </c>
    </row>
    <row r="668" ht="18" customHeight="1">
      <c r="A668" s="10" t="n"/>
      <c r="B668" s="98" t="inlineStr">
        <is>
          <t>2026-05-04</t>
        </is>
      </c>
      <c r="C668" s="99" t="inlineStr">
        <is>
          <t>WHATABURGER 1492</t>
        </is>
      </c>
      <c r="D668" s="100" t="n">
        <v>28.25</v>
      </c>
      <c r="E668" s="104">
        <f>IF($C668="","",IFERROR(LOOKUP(2,1/((ISNUMBER(SEARCH('Category Rules'!$B$6:$B$125,$C668)))*('Category Rules'!$B$6:$B$125&lt;&gt;"")),'Category Rules'!$C$6:$C$125),"Uncategorized"))</f>
        <v/>
      </c>
      <c r="F668" s="108" t="n"/>
      <c r="G668" s="106">
        <f>IF($C668="","",IF($F668&lt;&gt;"",$F668,$E668))</f>
        <v/>
      </c>
      <c r="H668" s="82">
        <f>IF($B668="","",TEXT($B668,"mmm yyyy"))</f>
        <v/>
      </c>
    </row>
    <row r="669" ht="18" customHeight="1">
      <c r="A669" s="14" t="n"/>
      <c r="B669" s="98" t="inlineStr">
        <is>
          <t>2026-05-04</t>
        </is>
      </c>
      <c r="C669" s="99" t="inlineStr">
        <is>
          <t>JACK'S #203</t>
        </is>
      </c>
      <c r="D669" s="100" t="n">
        <v>12.19</v>
      </c>
      <c r="E669" s="101">
        <f>IF($C669="","",IFERROR(LOOKUP(2,1/((ISNUMBER(SEARCH('Category Rules'!$B$6:$B$125,$C669)))*('Category Rules'!$B$6:$B$125&lt;&gt;"")),'Category Rules'!$C$6:$C$125),"Uncategorized"))</f>
        <v/>
      </c>
      <c r="F669" s="108" t="n"/>
      <c r="G669" s="103">
        <f>IF($C669="","",IF($F669&lt;&gt;"",$F669,$E669))</f>
        <v/>
      </c>
      <c r="H669" s="85">
        <f>IF($B669="","",TEXT($B669,"mmm yyyy"))</f>
        <v/>
      </c>
    </row>
    <row r="670" ht="18" customHeight="1">
      <c r="A670" s="10" t="n"/>
      <c r="B670" s="98" t="inlineStr">
        <is>
          <t>2026-05-05</t>
        </is>
      </c>
      <c r="C670" s="99" t="inlineStr">
        <is>
          <t>DOLLAR GENERAL # DG 304</t>
        </is>
      </c>
      <c r="D670" s="100" t="n">
        <v>11.99</v>
      </c>
      <c r="E670" s="104">
        <f>IF($C670="","",IFERROR(LOOKUP(2,1/((ISNUMBER(SEARCH('Category Rules'!$B$6:$B$125,$C670)))*('Category Rules'!$B$6:$B$125&lt;&gt;"")),'Category Rules'!$C$6:$C$125),"Uncategorized"))</f>
        <v/>
      </c>
      <c r="F670" s="108" t="n"/>
      <c r="G670" s="106">
        <f>IF($C670="","",IF($F670&lt;&gt;"",$F670,$E670))</f>
        <v/>
      </c>
      <c r="H670" s="82">
        <f>IF($B670="","",TEXT($B670,"mmm yyyy"))</f>
        <v/>
      </c>
    </row>
    <row r="671" ht="18" customHeight="1">
      <c r="A671" s="14" t="n"/>
      <c r="B671" s="98" t="inlineStr">
        <is>
          <t>2026-05-05</t>
        </is>
      </c>
      <c r="C671" s="99" t="inlineStr">
        <is>
          <t>JACK'S #203</t>
        </is>
      </c>
      <c r="D671" s="100" t="n">
        <v>9.039999999999999</v>
      </c>
      <c r="E671" s="101">
        <f>IF($C671="","",IFERROR(LOOKUP(2,1/((ISNUMBER(SEARCH('Category Rules'!$B$6:$B$125,$C671)))*('Category Rules'!$B$6:$B$125&lt;&gt;"")),'Category Rules'!$C$6:$C$125),"Uncategorized"))</f>
        <v/>
      </c>
      <c r="F671" s="108" t="n"/>
      <c r="G671" s="103">
        <f>IF($C671="","",IF($F671&lt;&gt;"",$F671,$E671))</f>
        <v/>
      </c>
      <c r="H671" s="85">
        <f>IF($B671="","",TEXT($B671,"mmm yyyy"))</f>
        <v/>
      </c>
    </row>
    <row r="672" ht="18" customHeight="1">
      <c r="A672" s="10" t="n"/>
      <c r="B672" s="98" t="inlineStr">
        <is>
          <t>2026-05-05</t>
        </is>
      </c>
      <c r="C672" s="99" t="inlineStr">
        <is>
          <t>PIC'N SAVE #248</t>
        </is>
      </c>
      <c r="D672" s="100" t="n">
        <v>2.37</v>
      </c>
      <c r="E672" s="104">
        <f>IF($C672="","",IFERROR(LOOKUP(2,1/((ISNUMBER(SEARCH('Category Rules'!$B$6:$B$125,$C672)))*('Category Rules'!$B$6:$B$125&lt;&gt;"")),'Category Rules'!$C$6:$C$125),"Uncategorized"))</f>
        <v/>
      </c>
      <c r="F672" s="108" t="n"/>
      <c r="G672" s="106">
        <f>IF($C672="","",IF($F672&lt;&gt;"",$F672,$E672))</f>
        <v/>
      </c>
      <c r="H672" s="82">
        <f>IF($B672="","",TEXT($B672,"mmm yyyy"))</f>
        <v/>
      </c>
    </row>
    <row r="673" ht="18" customHeight="1">
      <c r="A673" s="14" t="n"/>
      <c r="B673" s="98" t="inlineStr">
        <is>
          <t>2026-05-06</t>
        </is>
      </c>
      <c r="C673" s="99" t="inlineStr">
        <is>
          <t>WM SUPERCENTER #300</t>
        </is>
      </c>
      <c r="D673" s="100" t="n">
        <v>16.37</v>
      </c>
      <c r="E673" s="101">
        <f>IF($C673="","",IFERROR(LOOKUP(2,1/((ISNUMBER(SEARCH('Category Rules'!$B$6:$B$125,$C673)))*('Category Rules'!$B$6:$B$125&lt;&gt;"")),'Category Rules'!$C$6:$C$125),"Uncategorized"))</f>
        <v/>
      </c>
      <c r="F673" s="108" t="n"/>
      <c r="G673" s="103">
        <f>IF($C673="","",IF($F673&lt;&gt;"",$F673,$E673))</f>
        <v/>
      </c>
      <c r="H673" s="85">
        <f>IF($B673="","",TEXT($B673,"mmm yyyy"))</f>
        <v/>
      </c>
    </row>
    <row r="674" ht="18" customHeight="1">
      <c r="A674" s="10" t="n"/>
      <c r="B674" s="98" t="inlineStr">
        <is>
          <t>2026-05-06</t>
        </is>
      </c>
      <c r="C674" s="99" t="inlineStr">
        <is>
          <t>SITE356853- CHE</t>
        </is>
      </c>
      <c r="D674" s="100" t="n">
        <v>4.31</v>
      </c>
      <c r="E674" s="104">
        <f>IF($C674="","",IFERROR(LOOKUP(2,1/((ISNUMBER(SEARCH('Category Rules'!$B$6:$B$125,$C674)))*('Category Rules'!$B$6:$B$125&lt;&gt;"")),'Category Rules'!$C$6:$C$125),"Uncategorized"))</f>
        <v/>
      </c>
      <c r="F674" s="108" t="n"/>
      <c r="G674" s="106">
        <f>IF($C674="","",IF($F674&lt;&gt;"",$F674,$E674))</f>
        <v/>
      </c>
      <c r="H674" s="82">
        <f>IF($B674="","",TEXT($B674,"mmm yyyy"))</f>
        <v/>
      </c>
    </row>
    <row r="675" ht="18" customHeight="1">
      <c r="A675" s="14" t="n"/>
      <c r="B675" s="98" t="inlineStr">
        <is>
          <t>2026-05-06</t>
        </is>
      </c>
      <c r="C675" s="99" t="inlineStr">
        <is>
          <t>TACO BELL #7029147</t>
        </is>
      </c>
      <c r="D675" s="100" t="n">
        <v>7.58</v>
      </c>
      <c r="E675" s="101">
        <f>IF($C675="","",IFERROR(LOOKUP(2,1/((ISNUMBER(SEARCH('Category Rules'!$B$6:$B$125,$C675)))*('Category Rules'!$B$6:$B$125&lt;&gt;"")),'Category Rules'!$C$6:$C$125),"Uncategorized"))</f>
        <v/>
      </c>
      <c r="F675" s="108" t="n"/>
      <c r="G675" s="103">
        <f>IF($C675="","",IF($F675&lt;&gt;"",$F675,$E675))</f>
        <v/>
      </c>
      <c r="H675" s="85">
        <f>IF($B675="","",TEXT($B675,"mmm yyyy"))</f>
        <v/>
      </c>
    </row>
    <row r="676" ht="18" customHeight="1">
      <c r="A676" s="10" t="n"/>
      <c r="B676" s="98" t="inlineStr">
        <is>
          <t>2026-05-06</t>
        </is>
      </c>
      <c r="C676" s="99" t="inlineStr">
        <is>
          <t>AMEX EPAYMENT</t>
        </is>
      </c>
      <c r="D676" s="100" t="n">
        <v>90.38</v>
      </c>
      <c r="E676" s="104">
        <f>IF($C676="","",IFERROR(LOOKUP(2,1/((ISNUMBER(SEARCH('Category Rules'!$B$6:$B$125,$C676)))*('Category Rules'!$B$6:$B$125&lt;&gt;"")),'Category Rules'!$C$6:$C$125),"Uncategorized"))</f>
        <v/>
      </c>
      <c r="F676" s="108" t="n"/>
      <c r="G676" s="106">
        <f>IF($C676="","",IF($F676&lt;&gt;"",$F676,$E676))</f>
        <v/>
      </c>
      <c r="H676" s="82">
        <f>IF($B676="","",TEXT($B676,"mmm yyyy"))</f>
        <v/>
      </c>
    </row>
    <row r="677" ht="18" customHeight="1">
      <c r="A677" s="14" t="n"/>
      <c r="B677" s="98" t="inlineStr">
        <is>
          <t>2026-05-07</t>
        </is>
      </c>
      <c r="C677" s="99" t="inlineStr">
        <is>
          <t>SITE356853- CHE</t>
        </is>
      </c>
      <c r="D677" s="100" t="n">
        <v>19.29</v>
      </c>
      <c r="E677" s="101">
        <f>IF($C677="","",IFERROR(LOOKUP(2,1/((ISNUMBER(SEARCH('Category Rules'!$B$6:$B$125,$C677)))*('Category Rules'!$B$6:$B$125&lt;&gt;"")),'Category Rules'!$C$6:$C$125),"Uncategorized"))</f>
        <v/>
      </c>
      <c r="F677" s="108" t="n"/>
      <c r="G677" s="103">
        <f>IF($C677="","",IF($F677&lt;&gt;"",$F677,$E677))</f>
        <v/>
      </c>
      <c r="H677" s="85">
        <f>IF($B677="","",TEXT($B677,"mmm yyyy"))</f>
        <v/>
      </c>
    </row>
    <row r="678" ht="18" customHeight="1">
      <c r="A678" s="10" t="n"/>
      <c r="B678" s="98" t="inlineStr">
        <is>
          <t>2026-05-07</t>
        </is>
      </c>
      <c r="C678" s="99" t="inlineStr">
        <is>
          <t>Bojangles 0914</t>
        </is>
      </c>
      <c r="D678" s="100" t="n">
        <v>12.52</v>
      </c>
      <c r="E678" s="104">
        <f>IF($C678="","",IFERROR(LOOKUP(2,1/((ISNUMBER(SEARCH('Category Rules'!$B$6:$B$125,$C678)))*('Category Rules'!$B$6:$B$125&lt;&gt;"")),'Category Rules'!$C$6:$C$125),"Uncategorized"))</f>
        <v/>
      </c>
      <c r="F678" s="108" t="n"/>
      <c r="G678" s="106">
        <f>IF($C678="","",IF($F678&lt;&gt;"",$F678,$E678))</f>
        <v/>
      </c>
      <c r="H678" s="82">
        <f>IF($B678="","",TEXT($B678,"mmm yyyy"))</f>
        <v/>
      </c>
    </row>
    <row r="679" ht="18" customHeight="1">
      <c r="A679" s="14" t="n"/>
      <c r="B679" s="98" t="inlineStr">
        <is>
          <t>2026-05-08</t>
        </is>
      </c>
      <c r="C679" s="99" t="inlineStr">
        <is>
          <t>W. M. GROCERY</t>
        </is>
      </c>
      <c r="D679" s="100" t="n">
        <v>1.58</v>
      </c>
      <c r="E679" s="101">
        <f>IF($C679="","",IFERROR(LOOKUP(2,1/((ISNUMBER(SEARCH('Category Rules'!$B$6:$B$125,$C679)))*('Category Rules'!$B$6:$B$125&lt;&gt;"")),'Category Rules'!$C$6:$C$125),"Uncategorized"))</f>
        <v/>
      </c>
      <c r="F679" s="108" t="n"/>
      <c r="G679" s="103">
        <f>IF($C679="","",IF($F679&lt;&gt;"",$F679,$E679))</f>
        <v/>
      </c>
      <c r="H679" s="85">
        <f>IF($B679="","",TEXT($B679,"mmm yyyy"))</f>
        <v/>
      </c>
    </row>
    <row r="680" ht="18" customHeight="1">
      <c r="A680" s="10" t="n"/>
      <c r="B680" s="98" t="inlineStr">
        <is>
          <t>2026-05-08</t>
        </is>
      </c>
      <c r="C680" s="99" t="inlineStr">
        <is>
          <t>W. M. GROCERY</t>
        </is>
      </c>
      <c r="D680" s="100" t="n">
        <v>10.9</v>
      </c>
      <c r="E680" s="104">
        <f>IF($C680="","",IFERROR(LOOKUP(2,1/((ISNUMBER(SEARCH('Category Rules'!$B$6:$B$125,$C680)))*('Category Rules'!$B$6:$B$125&lt;&gt;"")),'Category Rules'!$C$6:$C$125),"Uncategorized"))</f>
        <v/>
      </c>
      <c r="F680" s="108" t="n"/>
      <c r="G680" s="106">
        <f>IF($C680="","",IF($F680&lt;&gt;"",$F680,$E680))</f>
        <v/>
      </c>
      <c r="H680" s="82">
        <f>IF($B680="","",TEXT($B680,"mmm yyyy"))</f>
        <v/>
      </c>
    </row>
    <row r="681" ht="18" customHeight="1">
      <c r="A681" s="14" t="n"/>
      <c r="B681" s="98" t="inlineStr">
        <is>
          <t>2026-05-08</t>
        </is>
      </c>
      <c r="C681" s="99" t="inlineStr">
        <is>
          <t>LITTLE CAESARS 3412005</t>
        </is>
      </c>
      <c r="D681" s="100" t="n">
        <v>7.48</v>
      </c>
      <c r="E681" s="101">
        <f>IF($C681="","",IFERROR(LOOKUP(2,1/((ISNUMBER(SEARCH('Category Rules'!$B$6:$B$125,$C681)))*('Category Rules'!$B$6:$B$125&lt;&gt;"")),'Category Rules'!$C$6:$C$125),"Uncategorized"))</f>
        <v/>
      </c>
      <c r="F681" s="108" t="n"/>
      <c r="G681" s="103">
        <f>IF($C681="","",IF($F681&lt;&gt;"",$F681,$E681))</f>
        <v/>
      </c>
      <c r="H681" s="85">
        <f>IF($B681="","",TEXT($B681,"mmm yyyy"))</f>
        <v/>
      </c>
    </row>
    <row r="682" ht="18" customHeight="1">
      <c r="A682" s="10" t="n"/>
      <c r="B682" s="98" t="inlineStr">
        <is>
          <t>2026-05-08</t>
        </is>
      </c>
      <c r="C682" s="99" t="inlineStr">
        <is>
          <t>TACO BELL #7029147</t>
        </is>
      </c>
      <c r="D682" s="100" t="n">
        <v>8.25</v>
      </c>
      <c r="E682" s="104">
        <f>IF($C682="","",IFERROR(LOOKUP(2,1/((ISNUMBER(SEARCH('Category Rules'!$B$6:$B$125,$C682)))*('Category Rules'!$B$6:$B$125&lt;&gt;"")),'Category Rules'!$C$6:$C$125),"Uncategorized"))</f>
        <v/>
      </c>
      <c r="F682" s="108" t="n"/>
      <c r="G682" s="106">
        <f>IF($C682="","",IF($F682&lt;&gt;"",$F682,$E682))</f>
        <v/>
      </c>
      <c r="H682" s="82">
        <f>IF($B682="","",TEXT($B682,"mmm yyyy"))</f>
        <v/>
      </c>
    </row>
    <row r="683" ht="18" customHeight="1">
      <c r="A683" s="14" t="n"/>
      <c r="B683" s="98" t="inlineStr">
        <is>
          <t>2026-05-08</t>
        </is>
      </c>
      <c r="C683" s="99" t="inlineStr">
        <is>
          <t>TST* ROCK N ROOSTER SA</t>
        </is>
      </c>
      <c r="D683" s="100" t="n">
        <v>31.02</v>
      </c>
      <c r="E683" s="101">
        <f>IF($C683="","",IFERROR(LOOKUP(2,1/((ISNUMBER(SEARCH('Category Rules'!$B$6:$B$125,$C683)))*('Category Rules'!$B$6:$B$125&lt;&gt;"")),'Category Rules'!$C$6:$C$125),"Uncategorized"))</f>
        <v/>
      </c>
      <c r="F683" s="108" t="n"/>
      <c r="G683" s="103">
        <f>IF($C683="","",IF($F683&lt;&gt;"",$F683,$E683))</f>
        <v/>
      </c>
      <c r="H683" s="85">
        <f>IF($B683="","",TEXT($B683,"mmm yyyy"))</f>
        <v/>
      </c>
    </row>
    <row r="684" ht="18" customHeight="1">
      <c r="A684" s="10" t="n"/>
      <c r="B684" s="98" t="inlineStr">
        <is>
          <t>2026-05-09</t>
        </is>
      </c>
      <c r="C684" s="99" t="inlineStr">
        <is>
          <t>SITE356853- CHE</t>
        </is>
      </c>
      <c r="D684" s="100" t="n">
        <v>78.73</v>
      </c>
      <c r="E684" s="104">
        <f>IF($C684="","",IFERROR(LOOKUP(2,1/((ISNUMBER(SEARCH('Category Rules'!$B$6:$B$125,$C684)))*('Category Rules'!$B$6:$B$125&lt;&gt;"")),'Category Rules'!$C$6:$C$125),"Uncategorized"))</f>
        <v/>
      </c>
      <c r="F684" s="108" t="n"/>
      <c r="G684" s="106">
        <f>IF($C684="","",IF($F684&lt;&gt;"",$F684,$E684))</f>
        <v/>
      </c>
      <c r="H684" s="82">
        <f>IF($B684="","",TEXT($B684,"mmm yyyy"))</f>
        <v/>
      </c>
    </row>
    <row r="685" ht="18" customHeight="1">
      <c r="A685" s="14" t="n"/>
      <c r="B685" s="98" t="inlineStr">
        <is>
          <t>2026-05-09</t>
        </is>
      </c>
      <c r="C685" s="99" t="inlineStr">
        <is>
          <t>W. M. GROCERY</t>
        </is>
      </c>
      <c r="D685" s="100" t="n">
        <v>14.61</v>
      </c>
      <c r="E685" s="101">
        <f>IF($C685="","",IFERROR(LOOKUP(2,1/((ISNUMBER(SEARCH('Category Rules'!$B$6:$B$125,$C685)))*('Category Rules'!$B$6:$B$125&lt;&gt;"")),'Category Rules'!$C$6:$C$125),"Uncategorized"))</f>
        <v/>
      </c>
      <c r="F685" s="108" t="n"/>
      <c r="G685" s="103">
        <f>IF($C685="","",IF($F685&lt;&gt;"",$F685,$E685))</f>
        <v/>
      </c>
      <c r="H685" s="85">
        <f>IF($B685="","",TEXT($B685,"mmm yyyy"))</f>
        <v/>
      </c>
    </row>
    <row r="686" ht="18" customHeight="1">
      <c r="A686" s="10" t="n"/>
      <c r="B686" s="98" t="inlineStr">
        <is>
          <t>2026-05-09</t>
        </is>
      </c>
      <c r="C686" s="99" t="inlineStr">
        <is>
          <t>CIRCLE K # 09321 88810</t>
        </is>
      </c>
      <c r="D686" s="100" t="n">
        <v>30.13</v>
      </c>
      <c r="E686" s="104">
        <f>IF($C686="","",IFERROR(LOOKUP(2,1/((ISNUMBER(SEARCH('Category Rules'!$B$6:$B$125,$C686)))*('Category Rules'!$B$6:$B$125&lt;&gt;"")),'Category Rules'!$C$6:$C$125),"Uncategorized"))</f>
        <v/>
      </c>
      <c r="F686" s="108" t="n"/>
      <c r="G686" s="106">
        <f>IF($C686="","",IF($F686&lt;&gt;"",$F686,$E686))</f>
        <v/>
      </c>
      <c r="H686" s="82">
        <f>IF($B686="","",TEXT($B686,"mmm yyyy"))</f>
        <v/>
      </c>
    </row>
    <row r="687" ht="18" customHeight="1">
      <c r="A687" s="14" t="n"/>
      <c r="B687" s="98" t="inlineStr">
        <is>
          <t>2026-05-09</t>
        </is>
      </c>
      <c r="C687" s="99" t="inlineStr">
        <is>
          <t>TST* ROCK N ROOSTER SA</t>
        </is>
      </c>
      <c r="D687" s="100" t="n">
        <v>66.75</v>
      </c>
      <c r="E687" s="101">
        <f>IF($C687="","",IFERROR(LOOKUP(2,1/((ISNUMBER(SEARCH('Category Rules'!$B$6:$B$125,$C687)))*('Category Rules'!$B$6:$B$125&lt;&gt;"")),'Category Rules'!$C$6:$C$125),"Uncategorized"))</f>
        <v/>
      </c>
      <c r="F687" s="108" t="n"/>
      <c r="G687" s="103">
        <f>IF($C687="","",IF($F687&lt;&gt;"",$F687,$E687))</f>
        <v/>
      </c>
      <c r="H687" s="85">
        <f>IF($B687="","",TEXT($B687,"mmm yyyy"))</f>
        <v/>
      </c>
    </row>
    <row r="688" ht="18" customHeight="1">
      <c r="A688" s="10" t="n"/>
      <c r="B688" s="98" t="inlineStr">
        <is>
          <t>2026-05-09</t>
        </is>
      </c>
      <c r="C688" s="99" t="inlineStr">
        <is>
          <t>SQ *JASMYNE TURNER</t>
        </is>
      </c>
      <c r="D688" s="100" t="n">
        <v>30</v>
      </c>
      <c r="E688" s="104">
        <f>IF($C688="","",IFERROR(LOOKUP(2,1/((ISNUMBER(SEARCH('Category Rules'!$B$6:$B$125,$C688)))*('Category Rules'!$B$6:$B$125&lt;&gt;"")),'Category Rules'!$C$6:$C$125),"Uncategorized"))</f>
        <v/>
      </c>
      <c r="F688" s="108" t="n"/>
      <c r="G688" s="106">
        <f>IF($C688="","",IF($F688&lt;&gt;"",$F688,$E688))</f>
        <v/>
      </c>
      <c r="H688" s="82">
        <f>IF($B688="","",TEXT($B688,"mmm yyyy"))</f>
        <v/>
      </c>
    </row>
    <row r="689" ht="18" customHeight="1">
      <c r="A689" s="14" t="n"/>
      <c r="B689" s="98" t="inlineStr">
        <is>
          <t>2026-05-09</t>
        </is>
      </c>
      <c r="C689" s="99" t="inlineStr">
        <is>
          <t>WHATABURGER 1492</t>
        </is>
      </c>
      <c r="D689" s="100" t="n">
        <v>17.48</v>
      </c>
      <c r="E689" s="101">
        <f>IF($C689="","",IFERROR(LOOKUP(2,1/((ISNUMBER(SEARCH('Category Rules'!$B$6:$B$125,$C689)))*('Category Rules'!$B$6:$B$125&lt;&gt;"")),'Category Rules'!$C$6:$C$125),"Uncategorized"))</f>
        <v/>
      </c>
      <c r="F689" s="108" t="n"/>
      <c r="G689" s="103">
        <f>IF($C689="","",IF($F689&lt;&gt;"",$F689,$E689))</f>
        <v/>
      </c>
      <c r="H689" s="85">
        <f>IF($B689="","",TEXT($B689,"mmm yyyy"))</f>
        <v/>
      </c>
    </row>
    <row r="690" ht="18" customHeight="1">
      <c r="A690" s="10" t="n"/>
      <c r="B690" s="98" t="inlineStr">
        <is>
          <t>2026-05-09</t>
        </is>
      </c>
      <c r="C690" s="99" t="inlineStr">
        <is>
          <t>VENMO *Melissa O'Brie</t>
        </is>
      </c>
      <c r="D690" s="100" t="n">
        <v>48.21</v>
      </c>
      <c r="E690" s="104">
        <f>IF($C690="","",IFERROR(LOOKUP(2,1/((ISNUMBER(SEARCH('Category Rules'!$B$6:$B$125,$C690)))*('Category Rules'!$B$6:$B$125&lt;&gt;"")),'Category Rules'!$C$6:$C$125),"Uncategorized"))</f>
        <v/>
      </c>
      <c r="F690" s="108" t="n"/>
      <c r="G690" s="106">
        <f>IF($C690="","",IF($F690&lt;&gt;"",$F690,$E690))</f>
        <v/>
      </c>
      <c r="H690" s="82">
        <f>IF($B690="","",TEXT($B690,"mmm yyyy"))</f>
        <v/>
      </c>
    </row>
    <row r="691" ht="18" customHeight="1">
      <c r="A691" s="14" t="n"/>
      <c r="B691" s="98" t="inlineStr">
        <is>
          <t>2026-05-10</t>
        </is>
      </c>
      <c r="C691" s="99" t="inlineStr">
        <is>
          <t>DOLLAR GENERAL # DG 203</t>
        </is>
      </c>
      <c r="D691" s="100" t="n">
        <v>12.05</v>
      </c>
      <c r="E691" s="101">
        <f>IF($C691="","",IFERROR(LOOKUP(2,1/((ISNUMBER(SEARCH('Category Rules'!$B$6:$B$125,$C691)))*('Category Rules'!$B$6:$B$125&lt;&gt;"")),'Category Rules'!$C$6:$C$125),"Uncategorized"))</f>
        <v/>
      </c>
      <c r="F691" s="108" t="n"/>
      <c r="G691" s="103">
        <f>IF($C691="","",IF($F691&lt;&gt;"",$F691,$E691))</f>
        <v/>
      </c>
      <c r="H691" s="85">
        <f>IF($B691="","",TEXT($B691,"mmm yyyy"))</f>
        <v/>
      </c>
    </row>
    <row r="692" ht="18" customHeight="1">
      <c r="A692" s="10" t="n"/>
      <c r="B692" s="98" t="inlineStr">
        <is>
          <t>2026-05-10</t>
        </is>
      </c>
      <c r="C692" s="99" t="inlineStr">
        <is>
          <t>WHATABURGER 1492</t>
        </is>
      </c>
      <c r="D692" s="100" t="n">
        <v>16.38</v>
      </c>
      <c r="E692" s="104">
        <f>IF($C692="","",IFERROR(LOOKUP(2,1/((ISNUMBER(SEARCH('Category Rules'!$B$6:$B$125,$C692)))*('Category Rules'!$B$6:$B$125&lt;&gt;"")),'Category Rules'!$C$6:$C$125),"Uncategorized"))</f>
        <v/>
      </c>
      <c r="F692" s="108" t="n"/>
      <c r="G692" s="106">
        <f>IF($C692="","",IF($F692&lt;&gt;"",$F692,$E692))</f>
        <v/>
      </c>
      <c r="H692" s="82">
        <f>IF($B692="","",TEXT($B692,"mmm yyyy"))</f>
        <v/>
      </c>
    </row>
    <row r="693" ht="18" customHeight="1">
      <c r="A693" s="14" t="n"/>
      <c r="B693" s="98" t="inlineStr">
        <is>
          <t>2026-05-10</t>
        </is>
      </c>
      <c r="C693" s="99" t="inlineStr">
        <is>
          <t>COOK OUT JACKSONVILLE</t>
        </is>
      </c>
      <c r="D693" s="100" t="n">
        <v>8.789999999999999</v>
      </c>
      <c r="E693" s="101">
        <f>IF($C693="","",IFERROR(LOOKUP(2,1/((ISNUMBER(SEARCH('Category Rules'!$B$6:$B$125,$C693)))*('Category Rules'!$B$6:$B$125&lt;&gt;"")),'Category Rules'!$C$6:$C$125),"Uncategorized"))</f>
        <v/>
      </c>
      <c r="F693" s="108" t="n"/>
      <c r="G693" s="103">
        <f>IF($C693="","",IF($F693&lt;&gt;"",$F693,$E693))</f>
        <v/>
      </c>
      <c r="H693" s="85">
        <f>IF($B693="","",TEXT($B693,"mmm yyyy"))</f>
        <v/>
      </c>
    </row>
    <row r="694" ht="18" customHeight="1">
      <c r="A694" s="10" t="n"/>
      <c r="B694" s="98" t="inlineStr">
        <is>
          <t>2026-05-10</t>
        </is>
      </c>
      <c r="C694" s="99" t="inlineStr">
        <is>
          <t>VENMO *Shane Stanfiel</t>
        </is>
      </c>
      <c r="D694" s="100" t="n">
        <v>10</v>
      </c>
      <c r="E694" s="104">
        <f>IF($C694="","",IFERROR(LOOKUP(2,1/((ISNUMBER(SEARCH('Category Rules'!$B$6:$B$125,$C694)))*('Category Rules'!$B$6:$B$125&lt;&gt;"")),'Category Rules'!$C$6:$C$125),"Uncategorized"))</f>
        <v/>
      </c>
      <c r="F694" s="108" t="n"/>
      <c r="G694" s="106">
        <f>IF($C694="","",IF($F694&lt;&gt;"",$F694,$E694))</f>
        <v/>
      </c>
      <c r="H694" s="82">
        <f>IF($B694="","",TEXT($B694,"mmm yyyy"))</f>
        <v/>
      </c>
    </row>
    <row r="695" ht="18" customHeight="1">
      <c r="A695" s="14" t="n"/>
      <c r="B695" s="98" t="inlineStr">
        <is>
          <t>2026-05-10</t>
        </is>
      </c>
      <c r="C695" s="99" t="inlineStr">
        <is>
          <t>PIC'N SAVE #248</t>
        </is>
      </c>
      <c r="D695" s="100" t="n">
        <v>1.97</v>
      </c>
      <c r="E695" s="101">
        <f>IF($C695="","",IFERROR(LOOKUP(2,1/((ISNUMBER(SEARCH('Category Rules'!$B$6:$B$125,$C695)))*('Category Rules'!$B$6:$B$125&lt;&gt;"")),'Category Rules'!$C$6:$C$125),"Uncategorized"))</f>
        <v/>
      </c>
      <c r="F695" s="108" t="n"/>
      <c r="G695" s="103">
        <f>IF($C695="","",IF($F695&lt;&gt;"",$F695,$E695))</f>
        <v/>
      </c>
      <c r="H695" s="85">
        <f>IF($B695="","",TEXT($B695,"mmm yyyy"))</f>
        <v/>
      </c>
    </row>
    <row r="696" ht="18" customHeight="1">
      <c r="A696" s="10" t="n"/>
      <c r="B696" s="98" t="inlineStr">
        <is>
          <t>2026-05-11</t>
        </is>
      </c>
      <c r="C696" s="99" t="inlineStr">
        <is>
          <t>SITE356853- CHE</t>
        </is>
      </c>
      <c r="D696" s="100" t="n">
        <v>11.61</v>
      </c>
      <c r="E696" s="104">
        <f>IF($C696="","",IFERROR(LOOKUP(2,1/((ISNUMBER(SEARCH('Category Rules'!$B$6:$B$125,$C696)))*('Category Rules'!$B$6:$B$125&lt;&gt;"")),'Category Rules'!$C$6:$C$125),"Uncategorized"))</f>
        <v/>
      </c>
      <c r="F696" s="108" t="n"/>
      <c r="G696" s="106">
        <f>IF($C696="","",IF($F696&lt;&gt;"",$F696,$E696))</f>
        <v/>
      </c>
      <c r="H696" s="82">
        <f>IF($B696="","",TEXT($B696,"mmm yyyy"))</f>
        <v/>
      </c>
    </row>
    <row r="697" ht="18" customHeight="1">
      <c r="A697" s="14" t="n"/>
      <c r="B697" s="98" t="inlineStr">
        <is>
          <t>2026-05-11</t>
        </is>
      </c>
      <c r="C697" s="99" t="inlineStr">
        <is>
          <t>DORSEY'S SUPERM</t>
        </is>
      </c>
      <c r="D697" s="100" t="n">
        <v>2.92</v>
      </c>
      <c r="E697" s="101">
        <f>IF($C697="","",IFERROR(LOOKUP(2,1/((ISNUMBER(SEARCH('Category Rules'!$B$6:$B$125,$C697)))*('Category Rules'!$B$6:$B$125&lt;&gt;"")),'Category Rules'!$C$6:$C$125),"Uncategorized"))</f>
        <v/>
      </c>
      <c r="F697" s="108" t="n"/>
      <c r="G697" s="103">
        <f>IF($C697="","",IF($F697&lt;&gt;"",$F697,$E697))</f>
        <v/>
      </c>
      <c r="H697" s="85">
        <f>IF($B697="","",TEXT($B697,"mmm yyyy"))</f>
        <v/>
      </c>
    </row>
    <row r="698" ht="18" customHeight="1">
      <c r="A698" s="10" t="n"/>
      <c r="B698" s="98" t="inlineStr">
        <is>
          <t>2026-05-11</t>
        </is>
      </c>
      <c r="C698" s="99" t="inlineStr">
        <is>
          <t>DORSEY'S SUPERM</t>
        </is>
      </c>
      <c r="D698" s="100" t="n">
        <v>2.11</v>
      </c>
      <c r="E698" s="104">
        <f>IF($C698="","",IFERROR(LOOKUP(2,1/((ISNUMBER(SEARCH('Category Rules'!$B$6:$B$125,$C698)))*('Category Rules'!$B$6:$B$125&lt;&gt;"")),'Category Rules'!$C$6:$C$125),"Uncategorized"))</f>
        <v/>
      </c>
      <c r="F698" s="108" t="n"/>
      <c r="G698" s="106">
        <f>IF($C698="","",IF($F698&lt;&gt;"",$F698,$E698))</f>
        <v/>
      </c>
      <c r="H698" s="82">
        <f>IF($B698="","",TEXT($B698,"mmm yyyy"))</f>
        <v/>
      </c>
    </row>
    <row r="699" ht="18" customHeight="1">
      <c r="A699" s="14" t="n"/>
      <c r="B699" s="98" t="inlineStr">
        <is>
          <t>2026-05-11</t>
        </is>
      </c>
      <c r="C699" s="99" t="inlineStr">
        <is>
          <t>AUTOZONE  4459 1819 US</t>
        </is>
      </c>
      <c r="D699" s="100" t="n">
        <v>12.09</v>
      </c>
      <c r="E699" s="101">
        <f>IF($C699="","",IFERROR(LOOKUP(2,1/((ISNUMBER(SEARCH('Category Rules'!$B$6:$B$125,$C699)))*('Category Rules'!$B$6:$B$125&lt;&gt;"")),'Category Rules'!$C$6:$C$125),"Uncategorized"))</f>
        <v/>
      </c>
      <c r="F699" s="108" t="n"/>
      <c r="G699" s="103">
        <f>IF($C699="","",IF($F699&lt;&gt;"",$F699,$E699))</f>
        <v/>
      </c>
      <c r="H699" s="85">
        <f>IF($B699="","",TEXT($B699,"mmm yyyy"))</f>
        <v/>
      </c>
    </row>
    <row r="700" ht="18" customHeight="1">
      <c r="A700" s="10" t="n"/>
      <c r="B700" s="98" t="inlineStr">
        <is>
          <t>2026-05-11</t>
        </is>
      </c>
      <c r="C700" s="99" t="inlineStr">
        <is>
          <t>PIC'N SAVE #248</t>
        </is>
      </c>
      <c r="D700" s="100" t="n">
        <v>2.37</v>
      </c>
      <c r="E700" s="104">
        <f>IF($C700="","",IFERROR(LOOKUP(2,1/((ISNUMBER(SEARCH('Category Rules'!$B$6:$B$125,$C700)))*('Category Rules'!$B$6:$B$125&lt;&gt;"")),'Category Rules'!$C$6:$C$125),"Uncategorized"))</f>
        <v/>
      </c>
      <c r="F700" s="108" t="n"/>
      <c r="G700" s="106">
        <f>IF($C700="","",IF($F700&lt;&gt;"",$F700,$E700))</f>
        <v/>
      </c>
      <c r="H700" s="82">
        <f>IF($B700="","",TEXT($B700,"mmm yyyy"))</f>
        <v/>
      </c>
    </row>
    <row r="701" ht="18" customHeight="1">
      <c r="A701" s="14" t="n"/>
      <c r="B701" s="98" t="inlineStr">
        <is>
          <t>2026-05-11</t>
        </is>
      </c>
      <c r="C701" s="99" t="inlineStr">
        <is>
          <t>JACK'S #200</t>
        </is>
      </c>
      <c r="D701" s="100" t="n">
        <v>8.890000000000001</v>
      </c>
      <c r="E701" s="101">
        <f>IF($C701="","",IFERROR(LOOKUP(2,1/((ISNUMBER(SEARCH('Category Rules'!$B$6:$B$125,$C701)))*('Category Rules'!$B$6:$B$125&lt;&gt;"")),'Category Rules'!$C$6:$C$125),"Uncategorized"))</f>
        <v/>
      </c>
      <c r="F701" s="108" t="n"/>
      <c r="G701" s="103">
        <f>IF($C701="","",IF($F701&lt;&gt;"",$F701,$E701))</f>
        <v/>
      </c>
      <c r="H701" s="85">
        <f>IF($B701="","",TEXT($B701,"mmm yyyy"))</f>
        <v/>
      </c>
    </row>
    <row r="702" ht="18" customHeight="1">
      <c r="A702" s="10" t="n"/>
      <c r="B702" s="98" t="inlineStr">
        <is>
          <t>2026-05-11</t>
        </is>
      </c>
      <c r="C702" s="99" t="inlineStr">
        <is>
          <t>BIG TIME ENTERTAINMENT</t>
        </is>
      </c>
      <c r="D702" s="100" t="n">
        <v>40.68</v>
      </c>
      <c r="E702" s="104">
        <f>IF($C702="","",IFERROR(LOOKUP(2,1/((ISNUMBER(SEARCH('Category Rules'!$B$6:$B$125,$C702)))*('Category Rules'!$B$6:$B$125&lt;&gt;"")),'Category Rules'!$C$6:$C$125),"Uncategorized"))</f>
        <v/>
      </c>
      <c r="F702" s="108" t="n"/>
      <c r="G702" s="106">
        <f>IF($C702="","",IF($F702&lt;&gt;"",$F702,$E702))</f>
        <v/>
      </c>
      <c r="H702" s="82">
        <f>IF($B702="","",TEXT($B702,"mmm yyyy"))</f>
        <v/>
      </c>
    </row>
    <row r="703" ht="18" customHeight="1">
      <c r="A703" s="14" t="n"/>
      <c r="B703" s="98" t="inlineStr">
        <is>
          <t>2026-05-11</t>
        </is>
      </c>
      <c r="C703" s="99" t="inlineStr">
        <is>
          <t>BIG TIME ENTERTAINMENT</t>
        </is>
      </c>
      <c r="D703" s="100" t="n">
        <v>23.6</v>
      </c>
      <c r="E703" s="101">
        <f>IF($C703="","",IFERROR(LOOKUP(2,1/((ISNUMBER(SEARCH('Category Rules'!$B$6:$B$125,$C703)))*('Category Rules'!$B$6:$B$125&lt;&gt;"")),'Category Rules'!$C$6:$C$125),"Uncategorized"))</f>
        <v/>
      </c>
      <c r="F703" s="108" t="n"/>
      <c r="G703" s="103">
        <f>IF($C703="","",IF($F703&lt;&gt;"",$F703,$E703))</f>
        <v/>
      </c>
      <c r="H703" s="85">
        <f>IF($B703="","",TEXT($B703,"mmm yyyy"))</f>
        <v/>
      </c>
    </row>
    <row r="704" ht="18" customHeight="1">
      <c r="A704" s="10" t="n"/>
      <c r="B704" s="98" t="inlineStr">
        <is>
          <t>2026-05-11</t>
        </is>
      </c>
      <c r="C704" s="99" t="inlineStr">
        <is>
          <t>JACK'S #200</t>
        </is>
      </c>
      <c r="D704" s="100" t="n">
        <v>9.119999999999999</v>
      </c>
      <c r="E704" s="104">
        <f>IF($C704="","",IFERROR(LOOKUP(2,1/((ISNUMBER(SEARCH('Category Rules'!$B$6:$B$125,$C704)))*('Category Rules'!$B$6:$B$125&lt;&gt;"")),'Category Rules'!$C$6:$C$125),"Uncategorized"))</f>
        <v/>
      </c>
      <c r="F704" s="108" t="n"/>
      <c r="G704" s="106">
        <f>IF($C704="","",IF($F704&lt;&gt;"",$F704,$E704))</f>
        <v/>
      </c>
      <c r="H704" s="82">
        <f>IF($B704="","",TEXT($B704,"mmm yyyy"))</f>
        <v/>
      </c>
    </row>
    <row r="705" ht="18" customHeight="1">
      <c r="A705" s="14" t="n"/>
      <c r="B705" s="98" t="inlineStr">
        <is>
          <t>2026-05-11</t>
        </is>
      </c>
      <c r="C705" s="99" t="inlineStr">
        <is>
          <t>COOK OUT JACKSONVILLE</t>
        </is>
      </c>
      <c r="D705" s="100" t="n">
        <v>8.789999999999999</v>
      </c>
      <c r="E705" s="101">
        <f>IF($C705="","",IFERROR(LOOKUP(2,1/((ISNUMBER(SEARCH('Category Rules'!$B$6:$B$125,$C705)))*('Category Rules'!$B$6:$B$125&lt;&gt;"")),'Category Rules'!$C$6:$C$125),"Uncategorized"))</f>
        <v/>
      </c>
      <c r="F705" s="108" t="n"/>
      <c r="G705" s="103">
        <f>IF($C705="","",IF($F705&lt;&gt;"",$F705,$E705))</f>
        <v/>
      </c>
      <c r="H705" s="85">
        <f>IF($B705="","",TEXT($B705,"mmm yyyy"))</f>
        <v/>
      </c>
    </row>
    <row r="706" ht="18" customHeight="1">
      <c r="A706" s="10" t="n"/>
      <c r="B706" s="98" t="inlineStr">
        <is>
          <t>2026-05-12</t>
        </is>
      </c>
      <c r="C706" s="99" t="inlineStr">
        <is>
          <t>DOLLAR GENERAL # DG 304</t>
        </is>
      </c>
      <c r="D706" s="100" t="n">
        <v>13.09</v>
      </c>
      <c r="E706" s="104">
        <f>IF($C706="","",IFERROR(LOOKUP(2,1/((ISNUMBER(SEARCH('Category Rules'!$B$6:$B$125,$C706)))*('Category Rules'!$B$6:$B$125&lt;&gt;"")),'Category Rules'!$C$6:$C$125),"Uncategorized"))</f>
        <v/>
      </c>
      <c r="F706" s="108" t="n"/>
      <c r="G706" s="106">
        <f>IF($C706="","",IF($F706&lt;&gt;"",$F706,$E706))</f>
        <v/>
      </c>
      <c r="H706" s="82">
        <f>IF($B706="","",TEXT($B706,"mmm yyyy"))</f>
        <v/>
      </c>
    </row>
    <row r="707" ht="18" customHeight="1">
      <c r="A707" s="14" t="n"/>
      <c r="B707" s="98" t="inlineStr">
        <is>
          <t>2026-05-12</t>
        </is>
      </c>
      <c r="C707" s="99" t="inlineStr">
        <is>
          <t>Bojangles 0914</t>
        </is>
      </c>
      <c r="D707" s="100" t="n">
        <v>8.130000000000001</v>
      </c>
      <c r="E707" s="101">
        <f>IF($C707="","",IFERROR(LOOKUP(2,1/((ISNUMBER(SEARCH('Category Rules'!$B$6:$B$125,$C707)))*('Category Rules'!$B$6:$B$125&lt;&gt;"")),'Category Rules'!$C$6:$C$125),"Uncategorized"))</f>
        <v/>
      </c>
      <c r="F707" s="108" t="n"/>
      <c r="G707" s="103">
        <f>IF($C707="","",IF($F707&lt;&gt;"",$F707,$E707))</f>
        <v/>
      </c>
      <c r="H707" s="85">
        <f>IF($B707="","",TEXT($B707,"mmm yyyy"))</f>
        <v/>
      </c>
    </row>
    <row r="708" ht="18" customHeight="1">
      <c r="A708" s="10" t="n"/>
      <c r="B708" s="98" t="inlineStr">
        <is>
          <t>2026-05-12</t>
        </is>
      </c>
      <c r="C708" s="99" t="inlineStr">
        <is>
          <t>MEXICO LINDO</t>
        </is>
      </c>
      <c r="D708" s="100" t="n">
        <v>106.52</v>
      </c>
      <c r="E708" s="104">
        <f>IF($C708="","",IFERROR(LOOKUP(2,1/((ISNUMBER(SEARCH('Category Rules'!$B$6:$B$125,$C708)))*('Category Rules'!$B$6:$B$125&lt;&gt;"")),'Category Rules'!$C$6:$C$125),"Uncategorized"))</f>
        <v/>
      </c>
      <c r="F708" s="108" t="n"/>
      <c r="G708" s="106">
        <f>IF($C708="","",IF($F708&lt;&gt;"",$F708,$E708))</f>
        <v/>
      </c>
      <c r="H708" s="82">
        <f>IF($B708="","",TEXT($B708,"mmm yyyy"))</f>
        <v/>
      </c>
    </row>
    <row r="709" ht="18" customHeight="1">
      <c r="A709" s="14" t="n"/>
      <c r="B709" s="98" t="inlineStr">
        <is>
          <t>2026-05-12</t>
        </is>
      </c>
      <c r="C709" s="99" t="inlineStr">
        <is>
          <t>JACK'S #203</t>
        </is>
      </c>
      <c r="D709" s="100" t="n">
        <v>6.53</v>
      </c>
      <c r="E709" s="101">
        <f>IF($C709="","",IFERROR(LOOKUP(2,1/((ISNUMBER(SEARCH('Category Rules'!$B$6:$B$125,$C709)))*('Category Rules'!$B$6:$B$125&lt;&gt;"")),'Category Rules'!$C$6:$C$125),"Uncategorized"))</f>
        <v/>
      </c>
      <c r="F709" s="108" t="n"/>
      <c r="G709" s="103">
        <f>IF($C709="","",IF($F709&lt;&gt;"",$F709,$E709))</f>
        <v/>
      </c>
      <c r="H709" s="85">
        <f>IF($B709="","",TEXT($B709,"mmm yyyy"))</f>
        <v/>
      </c>
    </row>
    <row r="710" ht="18" customHeight="1">
      <c r="A710" s="10" t="n"/>
      <c r="B710" s="98" t="inlineStr">
        <is>
          <t>2026-05-12</t>
        </is>
      </c>
      <c r="C710" s="99" t="inlineStr">
        <is>
          <t>PIC'N SAVE #248</t>
        </is>
      </c>
      <c r="D710" s="100" t="n">
        <v>2.46</v>
      </c>
      <c r="E710" s="104">
        <f>IF($C710="","",IFERROR(LOOKUP(2,1/((ISNUMBER(SEARCH('Category Rules'!$B$6:$B$125,$C710)))*('Category Rules'!$B$6:$B$125&lt;&gt;"")),'Category Rules'!$C$6:$C$125),"Uncategorized"))</f>
        <v/>
      </c>
      <c r="F710" s="108" t="n"/>
      <c r="G710" s="106">
        <f>IF($C710="","",IF($F710&lt;&gt;"",$F710,$E710))</f>
        <v/>
      </c>
      <c r="H710" s="82">
        <f>IF($B710="","",TEXT($B710,"mmm yyyy"))</f>
        <v/>
      </c>
    </row>
    <row r="711" ht="18" customHeight="1">
      <c r="A711" s="14" t="n"/>
      <c r="B711" s="98" t="inlineStr">
        <is>
          <t>2026-05-13</t>
        </is>
      </c>
      <c r="C711" s="99" t="inlineStr">
        <is>
          <t>Bojangles 0914</t>
        </is>
      </c>
      <c r="D711" s="100" t="n">
        <v>8.130000000000001</v>
      </c>
      <c r="E711" s="101">
        <f>IF($C711="","",IFERROR(LOOKUP(2,1/((ISNUMBER(SEARCH('Category Rules'!$B$6:$B$125,$C711)))*('Category Rules'!$B$6:$B$125&lt;&gt;"")),'Category Rules'!$C$6:$C$125),"Uncategorized"))</f>
        <v/>
      </c>
      <c r="F711" s="108" t="n"/>
      <c r="G711" s="103">
        <f>IF($C711="","",IF($F711&lt;&gt;"",$F711,$E711))</f>
        <v/>
      </c>
      <c r="H711" s="85">
        <f>IF($B711="","",TEXT($B711,"mmm yyyy"))</f>
        <v/>
      </c>
    </row>
    <row r="712" ht="18" customHeight="1">
      <c r="A712" s="10" t="n"/>
      <c r="B712" s="98" t="inlineStr">
        <is>
          <t>2026-05-13</t>
        </is>
      </c>
      <c r="C712" s="99" t="inlineStr">
        <is>
          <t>TACO BELL #7029147</t>
        </is>
      </c>
      <c r="D712" s="100" t="n">
        <v>9.550000000000001</v>
      </c>
      <c r="E712" s="104">
        <f>IF($C712="","",IFERROR(LOOKUP(2,1/((ISNUMBER(SEARCH('Category Rules'!$B$6:$B$125,$C712)))*('Category Rules'!$B$6:$B$125&lt;&gt;"")),'Category Rules'!$C$6:$C$125),"Uncategorized"))</f>
        <v/>
      </c>
      <c r="F712" s="108" t="n"/>
      <c r="G712" s="106">
        <f>IF($C712="","",IF($F712&lt;&gt;"",$F712,$E712))</f>
        <v/>
      </c>
      <c r="H712" s="82">
        <f>IF($B712="","",TEXT($B712,"mmm yyyy"))</f>
        <v/>
      </c>
    </row>
    <row r="713" ht="18" customHeight="1">
      <c r="A713" s="14" t="n"/>
      <c r="B713" s="98" t="inlineStr">
        <is>
          <t>2026-05-13</t>
        </is>
      </c>
      <c r="C713" s="99" t="inlineStr">
        <is>
          <t>MARATHON 235473</t>
        </is>
      </c>
      <c r="D713" s="100" t="n">
        <v>4.23</v>
      </c>
      <c r="E713" s="101">
        <f>IF($C713="","",IFERROR(LOOKUP(2,1/((ISNUMBER(SEARCH('Category Rules'!$B$6:$B$125,$C713)))*('Category Rules'!$B$6:$B$125&lt;&gt;"")),'Category Rules'!$C$6:$C$125),"Uncategorized"))</f>
        <v/>
      </c>
      <c r="F713" s="108" t="n"/>
      <c r="G713" s="103">
        <f>IF($C713="","",IF($F713&lt;&gt;"",$F713,$E713))</f>
        <v/>
      </c>
      <c r="H713" s="85">
        <f>IF($B713="","",TEXT($B713,"mmm yyyy"))</f>
        <v/>
      </c>
    </row>
    <row r="714" ht="18" customHeight="1">
      <c r="A714" s="10" t="n"/>
      <c r="B714" s="98" t="inlineStr">
        <is>
          <t>2026-05-13</t>
        </is>
      </c>
      <c r="C714" s="99" t="inlineStr">
        <is>
          <t>Alabama Power</t>
        </is>
      </c>
      <c r="D714" s="100" t="n">
        <v>206.01</v>
      </c>
      <c r="E714" s="104">
        <f>IF($C714="","",IFERROR(LOOKUP(2,1/((ISNUMBER(SEARCH('Category Rules'!$B$6:$B$125,$C714)))*('Category Rules'!$B$6:$B$125&lt;&gt;"")),'Category Rules'!$C$6:$C$125),"Uncategorized"))</f>
        <v/>
      </c>
      <c r="F714" s="108" t="n"/>
      <c r="G714" s="106">
        <f>IF($C714="","",IF($F714&lt;&gt;"",$F714,$E714))</f>
        <v/>
      </c>
      <c r="H714" s="82">
        <f>IF($B714="","",TEXT($B714,"mmm yyyy"))</f>
        <v/>
      </c>
    </row>
    <row r="715" ht="18" customHeight="1">
      <c r="A715" s="14" t="n"/>
      <c r="B715" s="98" t="inlineStr">
        <is>
          <t>2026-05-14</t>
        </is>
      </c>
      <c r="C715" s="99" t="inlineStr">
        <is>
          <t>SITE356853- CHE</t>
        </is>
      </c>
      <c r="D715" s="100" t="n">
        <v>88.29000000000001</v>
      </c>
      <c r="E715" s="101">
        <f>IF($C715="","",IFERROR(LOOKUP(2,1/((ISNUMBER(SEARCH('Category Rules'!$B$6:$B$125,$C715)))*('Category Rules'!$B$6:$B$125&lt;&gt;"")),'Category Rules'!$C$6:$C$125),"Uncategorized"))</f>
        <v/>
      </c>
      <c r="F715" s="108" t="n"/>
      <c r="G715" s="103">
        <f>IF($C715="","",IF($F715&lt;&gt;"",$F715,$E715))</f>
        <v/>
      </c>
      <c r="H715" s="85">
        <f>IF($B715="","",TEXT($B715,"mmm yyyy"))</f>
        <v/>
      </c>
    </row>
    <row r="716" ht="18" customHeight="1">
      <c r="A716" s="10" t="n"/>
      <c r="B716" s="98" t="inlineStr">
        <is>
          <t>2026-05-14</t>
        </is>
      </c>
      <c r="C716" s="99" t="inlineStr">
        <is>
          <t>SITE356853- CHE</t>
        </is>
      </c>
      <c r="D716" s="100" t="n">
        <v>16.16</v>
      </c>
      <c r="E716" s="104">
        <f>IF($C716="","",IFERROR(LOOKUP(2,1/((ISNUMBER(SEARCH('Category Rules'!$B$6:$B$125,$C716)))*('Category Rules'!$B$6:$B$125&lt;&gt;"")),'Category Rules'!$C$6:$C$125),"Uncategorized"))</f>
        <v/>
      </c>
      <c r="F716" s="108" t="n"/>
      <c r="G716" s="106">
        <f>IF($C716="","",IF($F716&lt;&gt;"",$F716,$E716))</f>
        <v/>
      </c>
      <c r="H716" s="82">
        <f>IF($B716="","",TEXT($B716,"mmm yyyy"))</f>
        <v/>
      </c>
    </row>
    <row r="717" ht="18" customHeight="1">
      <c r="A717" s="14" t="n"/>
      <c r="B717" s="98" t="inlineStr">
        <is>
          <t>2026-05-14</t>
        </is>
      </c>
      <c r="C717" s="99" t="inlineStr">
        <is>
          <t>TACO BELL #7029147</t>
        </is>
      </c>
      <c r="D717" s="100" t="n">
        <v>7.81</v>
      </c>
      <c r="E717" s="101">
        <f>IF($C717="","",IFERROR(LOOKUP(2,1/((ISNUMBER(SEARCH('Category Rules'!$B$6:$B$125,$C717)))*('Category Rules'!$B$6:$B$125&lt;&gt;"")),'Category Rules'!$C$6:$C$125),"Uncategorized"))</f>
        <v/>
      </c>
      <c r="F717" s="108" t="n"/>
      <c r="G717" s="103">
        <f>IF($C717="","",IF($F717&lt;&gt;"",$F717,$E717))</f>
        <v/>
      </c>
      <c r="H717" s="85">
        <f>IF($B717="","",TEXT($B717,"mmm yyyy"))</f>
        <v/>
      </c>
    </row>
    <row r="718" ht="18" customHeight="1">
      <c r="A718" s="10" t="n"/>
      <c r="B718" s="98" t="inlineStr">
        <is>
          <t>2026-05-14</t>
        </is>
      </c>
      <c r="C718" s="99" t="inlineStr">
        <is>
          <t>Bojangles 0914</t>
        </is>
      </c>
      <c r="D718" s="100" t="n">
        <v>8.68</v>
      </c>
      <c r="E718" s="104">
        <f>IF($C718="","",IFERROR(LOOKUP(2,1/((ISNUMBER(SEARCH('Category Rules'!$B$6:$B$125,$C718)))*('Category Rules'!$B$6:$B$125&lt;&gt;"")),'Category Rules'!$C$6:$C$125),"Uncategorized"))</f>
        <v/>
      </c>
      <c r="F718" s="108" t="n"/>
      <c r="G718" s="106">
        <f>IF($C718="","",IF($F718&lt;&gt;"",$F718,$E718))</f>
        <v/>
      </c>
      <c r="H718" s="82">
        <f>IF($B718="","",TEXT($B718,"mmm yyyy"))</f>
        <v/>
      </c>
    </row>
    <row r="719" ht="18" customHeight="1">
      <c r="A719" s="14" t="n"/>
      <c r="B719" s="98" t="inlineStr">
        <is>
          <t>2026-05-15</t>
        </is>
      </c>
      <c r="C719" s="99" t="inlineStr">
        <is>
          <t>W. M. GROCERY</t>
        </is>
      </c>
      <c r="D719" s="100" t="n">
        <v>25.06</v>
      </c>
      <c r="E719" s="101">
        <f>IF($C719="","",IFERROR(LOOKUP(2,1/((ISNUMBER(SEARCH('Category Rules'!$B$6:$B$125,$C719)))*('Category Rules'!$B$6:$B$125&lt;&gt;"")),'Category Rules'!$C$6:$C$125),"Uncategorized"))</f>
        <v/>
      </c>
      <c r="F719" s="108" t="n"/>
      <c r="G719" s="103">
        <f>IF($C719="","",IF($F719&lt;&gt;"",$F719,$E719))</f>
        <v/>
      </c>
      <c r="H719" s="85">
        <f>IF($B719="","",TEXT($B719,"mmm yyyy"))</f>
        <v/>
      </c>
    </row>
    <row r="720" ht="18" customHeight="1">
      <c r="A720" s="10" t="n"/>
      <c r="B720" s="98" t="inlineStr">
        <is>
          <t>2026-05-15</t>
        </is>
      </c>
      <c r="C720" s="99" t="inlineStr">
        <is>
          <t>W. M. GROCERY</t>
        </is>
      </c>
      <c r="D720" s="100" t="n">
        <v>10.58</v>
      </c>
      <c r="E720" s="104">
        <f>IF($C720="","",IFERROR(LOOKUP(2,1/((ISNUMBER(SEARCH('Category Rules'!$B$6:$B$125,$C720)))*('Category Rules'!$B$6:$B$125&lt;&gt;"")),'Category Rules'!$C$6:$C$125),"Uncategorized"))</f>
        <v/>
      </c>
      <c r="F720" s="108" t="n"/>
      <c r="G720" s="106">
        <f>IF($C720="","",IF($F720&lt;&gt;"",$F720,$E720))</f>
        <v/>
      </c>
      <c r="H720" s="82">
        <f>IF($B720="","",TEXT($B720,"mmm yyyy"))</f>
        <v/>
      </c>
    </row>
    <row r="721" ht="18" customHeight="1">
      <c r="A721" s="14" t="n"/>
      <c r="B721" s="98" t="inlineStr">
        <is>
          <t>2026-05-15</t>
        </is>
      </c>
      <c r="C721" s="99" t="inlineStr">
        <is>
          <t>TST* ROCK N ROOSTER SA</t>
        </is>
      </c>
      <c r="D721" s="100" t="n">
        <v>32.95</v>
      </c>
      <c r="E721" s="101">
        <f>IF($C721="","",IFERROR(LOOKUP(2,1/((ISNUMBER(SEARCH('Category Rules'!$B$6:$B$125,$C721)))*('Category Rules'!$B$6:$B$125&lt;&gt;"")),'Category Rules'!$C$6:$C$125),"Uncategorized"))</f>
        <v/>
      </c>
      <c r="F721" s="108" t="n"/>
      <c r="G721" s="103">
        <f>IF($C721="","",IF($F721&lt;&gt;"",$F721,$E721))</f>
        <v/>
      </c>
      <c r="H721" s="85">
        <f>IF($B721="","",TEXT($B721,"mmm yyyy"))</f>
        <v/>
      </c>
    </row>
    <row r="722" ht="18" customHeight="1">
      <c r="A722" s="10" t="n"/>
      <c r="B722" s="98" t="inlineStr">
        <is>
          <t>2026-05-15</t>
        </is>
      </c>
      <c r="C722" s="99" t="inlineStr">
        <is>
          <t>JACK'S #200</t>
        </is>
      </c>
      <c r="D722" s="100" t="n">
        <v>9.119999999999999</v>
      </c>
      <c r="E722" s="104">
        <f>IF($C722="","",IFERROR(LOOKUP(2,1/((ISNUMBER(SEARCH('Category Rules'!$B$6:$B$125,$C722)))*('Category Rules'!$B$6:$B$125&lt;&gt;"")),'Category Rules'!$C$6:$C$125),"Uncategorized"))</f>
        <v/>
      </c>
      <c r="F722" s="108" t="n"/>
      <c r="G722" s="106">
        <f>IF($C722="","",IF($F722&lt;&gt;"",$F722,$E722))</f>
        <v/>
      </c>
      <c r="H722" s="82">
        <f>IF($B722="","",TEXT($B722,"mmm yyyy"))</f>
        <v/>
      </c>
    </row>
    <row r="723" ht="18" customHeight="1">
      <c r="A723" s="14" t="n"/>
      <c r="B723" s="98" t="inlineStr">
        <is>
          <t>2026-05-15</t>
        </is>
      </c>
      <c r="C723" s="99" t="inlineStr">
        <is>
          <t>CIRCLE K # 09320 83162</t>
        </is>
      </c>
      <c r="D723" s="100" t="n">
        <v>3.98</v>
      </c>
      <c r="E723" s="101">
        <f>IF($C723="","",IFERROR(LOOKUP(2,1/((ISNUMBER(SEARCH('Category Rules'!$B$6:$B$125,$C723)))*('Category Rules'!$B$6:$B$125&lt;&gt;"")),'Category Rules'!$C$6:$C$125),"Uncategorized"))</f>
        <v/>
      </c>
      <c r="F723" s="108" t="n"/>
      <c r="G723" s="103">
        <f>IF($C723="","",IF($F723&lt;&gt;"",$F723,$E723))</f>
        <v/>
      </c>
      <c r="H723" s="85">
        <f>IF($B723="","",TEXT($B723,"mmm yyyy"))</f>
        <v/>
      </c>
    </row>
    <row r="724" ht="18" customHeight="1">
      <c r="A724" s="10" t="n"/>
      <c r="B724" s="98" t="inlineStr">
        <is>
          <t>2026-05-16</t>
        </is>
      </c>
      <c r="C724" s="99" t="inlineStr">
        <is>
          <t>MAPCO 5108 706 PELHAM R</t>
        </is>
      </c>
      <c r="D724" s="100" t="n">
        <v>10.95</v>
      </c>
      <c r="E724" s="104">
        <f>IF($C724="","",IFERROR(LOOKUP(2,1/((ISNUMBER(SEARCH('Category Rules'!$B$6:$B$125,$C724)))*('Category Rules'!$B$6:$B$125&lt;&gt;"")),'Category Rules'!$C$6:$C$125),"Uncategorized"))</f>
        <v/>
      </c>
      <c r="F724" s="108" t="n"/>
      <c r="G724" s="106">
        <f>IF($C724="","",IF($F724&lt;&gt;"",$F724,$E724))</f>
        <v/>
      </c>
      <c r="H724" s="82">
        <f>IF($B724="","",TEXT($B724,"mmm yyyy"))</f>
        <v/>
      </c>
    </row>
    <row r="725" ht="18" customHeight="1">
      <c r="A725" s="14" t="n"/>
      <c r="B725" s="98" t="inlineStr">
        <is>
          <t>2026-05-16</t>
        </is>
      </c>
      <c r="C725" s="99" t="inlineStr">
        <is>
          <t>W. M. GROCERY</t>
        </is>
      </c>
      <c r="D725" s="100" t="n">
        <v>2.11</v>
      </c>
      <c r="E725" s="101">
        <f>IF($C725="","",IFERROR(LOOKUP(2,1/((ISNUMBER(SEARCH('Category Rules'!$B$6:$B$125,$C725)))*('Category Rules'!$B$6:$B$125&lt;&gt;"")),'Category Rules'!$C$6:$C$125),"Uncategorized"))</f>
        <v/>
      </c>
      <c r="F725" s="108" t="n"/>
      <c r="G725" s="103">
        <f>IF($C725="","",IF($F725&lt;&gt;"",$F725,$E725))</f>
        <v/>
      </c>
      <c r="H725" s="85">
        <f>IF($B725="","",TEXT($B725,"mmm yyyy"))</f>
        <v/>
      </c>
    </row>
    <row r="726" ht="18" customHeight="1">
      <c r="A726" s="10" t="n"/>
      <c r="B726" s="98" t="inlineStr">
        <is>
          <t>2026-05-16</t>
        </is>
      </c>
      <c r="C726" s="99" t="inlineStr">
        <is>
          <t>PIGGLY WIGGLY O</t>
        </is>
      </c>
      <c r="D726" s="100" t="n">
        <v>1.75</v>
      </c>
      <c r="E726" s="104">
        <f>IF($C726="","",IFERROR(LOOKUP(2,1/((ISNUMBER(SEARCH('Category Rules'!$B$6:$B$125,$C726)))*('Category Rules'!$B$6:$B$125&lt;&gt;"")),'Category Rules'!$C$6:$C$125),"Uncategorized"))</f>
        <v/>
      </c>
      <c r="F726" s="108" t="n"/>
      <c r="G726" s="106">
        <f>IF($C726="","",IF($F726&lt;&gt;"",$F726,$E726))</f>
        <v/>
      </c>
      <c r="H726" s="82">
        <f>IF($B726="","",TEXT($B726,"mmm yyyy"))</f>
        <v/>
      </c>
    </row>
    <row r="727" ht="18" customHeight="1">
      <c r="A727" s="14" t="n"/>
      <c r="B727" s="98" t="inlineStr">
        <is>
          <t>2026-05-16</t>
        </is>
      </c>
      <c r="C727" s="99" t="inlineStr">
        <is>
          <t>CIRCLE K # 09320 83162</t>
        </is>
      </c>
      <c r="D727" s="100" t="n">
        <v>94.27</v>
      </c>
      <c r="E727" s="101">
        <f>IF($C727="","",IFERROR(LOOKUP(2,1/((ISNUMBER(SEARCH('Category Rules'!$B$6:$B$125,$C727)))*('Category Rules'!$B$6:$B$125&lt;&gt;"")),'Category Rules'!$C$6:$C$125),"Uncategorized"))</f>
        <v/>
      </c>
      <c r="F727" s="108" t="n"/>
      <c r="G727" s="103">
        <f>IF($C727="","",IF($F727&lt;&gt;"",$F727,$E727))</f>
        <v/>
      </c>
      <c r="H727" s="85">
        <f>IF($B727="","",TEXT($B727,"mmm yyyy"))</f>
        <v/>
      </c>
    </row>
    <row r="728" ht="18" customHeight="1">
      <c r="A728" s="10" t="n"/>
      <c r="B728" s="98" t="inlineStr">
        <is>
          <t>2026-05-16</t>
        </is>
      </c>
      <c r="C728" s="99" t="inlineStr">
        <is>
          <t>TST* ROCK N ROOSTER SA</t>
        </is>
      </c>
      <c r="D728" s="100" t="n">
        <v>20.24</v>
      </c>
      <c r="E728" s="104">
        <f>IF($C728="","",IFERROR(LOOKUP(2,1/((ISNUMBER(SEARCH('Category Rules'!$B$6:$B$125,$C728)))*('Category Rules'!$B$6:$B$125&lt;&gt;"")),'Category Rules'!$C$6:$C$125),"Uncategorized"))</f>
        <v/>
      </c>
      <c r="F728" s="108" t="n"/>
      <c r="G728" s="106">
        <f>IF($C728="","",IF($F728&lt;&gt;"",$F728,$E728))</f>
        <v/>
      </c>
      <c r="H728" s="82">
        <f>IF($B728="","",TEXT($B728,"mmm yyyy"))</f>
        <v/>
      </c>
    </row>
    <row r="729" ht="18" customHeight="1">
      <c r="A729" s="14" t="n"/>
      <c r="B729" s="98" t="inlineStr">
        <is>
          <t>2026-05-16</t>
        </is>
      </c>
      <c r="C729" s="99" t="inlineStr">
        <is>
          <t>JEFFERSON'S OF JACKSON</t>
        </is>
      </c>
      <c r="D729" s="100" t="n">
        <v>30.9</v>
      </c>
      <c r="E729" s="101">
        <f>IF($C729="","",IFERROR(LOOKUP(2,1/((ISNUMBER(SEARCH('Category Rules'!$B$6:$B$125,$C729)))*('Category Rules'!$B$6:$B$125&lt;&gt;"")),'Category Rules'!$C$6:$C$125),"Uncategorized"))</f>
        <v/>
      </c>
      <c r="F729" s="108" t="n"/>
      <c r="G729" s="103">
        <f>IF($C729="","",IF($F729&lt;&gt;"",$F729,$E729))</f>
        <v/>
      </c>
      <c r="H729" s="85">
        <f>IF($B729="","",TEXT($B729,"mmm yyyy"))</f>
        <v/>
      </c>
    </row>
    <row r="730" ht="18" customHeight="1">
      <c r="A730" s="10" t="n"/>
      <c r="B730" s="98" t="inlineStr">
        <is>
          <t>2026-05-16</t>
        </is>
      </c>
      <c r="C730" s="99" t="inlineStr">
        <is>
          <t>PIGGLY WIGGLY O</t>
        </is>
      </c>
      <c r="D730" s="100" t="n">
        <v>3.14</v>
      </c>
      <c r="E730" s="104">
        <f>IF($C730="","",IFERROR(LOOKUP(2,1/((ISNUMBER(SEARCH('Category Rules'!$B$6:$B$125,$C730)))*('Category Rules'!$B$6:$B$125&lt;&gt;"")),'Category Rules'!$C$6:$C$125),"Uncategorized"))</f>
        <v/>
      </c>
      <c r="F730" s="108" t="n"/>
      <c r="G730" s="106">
        <f>IF($C730="","",IF($F730&lt;&gt;"",$F730,$E730))</f>
        <v/>
      </c>
      <c r="H730" s="82">
        <f>IF($B730="","",TEXT($B730,"mmm yyyy"))</f>
        <v/>
      </c>
    </row>
    <row r="731" ht="18" customHeight="1">
      <c r="A731" s="14" t="n"/>
      <c r="B731" s="98" t="inlineStr">
        <is>
          <t>2026-05-17</t>
        </is>
      </c>
      <c r="C731" s="99" t="inlineStr">
        <is>
          <t>WAL-MART #0300</t>
        </is>
      </c>
      <c r="D731" s="100" t="n">
        <v>26.96</v>
      </c>
      <c r="E731" s="101">
        <f>IF($C731="","",IFERROR(LOOKUP(2,1/((ISNUMBER(SEARCH('Category Rules'!$B$6:$B$125,$C731)))*('Category Rules'!$B$6:$B$125&lt;&gt;"")),'Category Rules'!$C$6:$C$125),"Uncategorized"))</f>
        <v/>
      </c>
      <c r="F731" s="108" t="n"/>
      <c r="G731" s="103">
        <f>IF($C731="","",IF($F731&lt;&gt;"",$F731,$E731))</f>
        <v/>
      </c>
      <c r="H731" s="85">
        <f>IF($B731="","",TEXT($B731,"mmm yyyy"))</f>
        <v/>
      </c>
    </row>
    <row r="732" ht="18" customHeight="1">
      <c r="A732" s="10" t="n"/>
      <c r="B732" s="98" t="inlineStr">
        <is>
          <t>2026-05-17</t>
        </is>
      </c>
      <c r="C732" s="99" t="inlineStr">
        <is>
          <t>PERRYLAND FOODS</t>
        </is>
      </c>
      <c r="D732" s="100" t="n">
        <v>1.58</v>
      </c>
      <c r="E732" s="104">
        <f>IF($C732="","",IFERROR(LOOKUP(2,1/((ISNUMBER(SEARCH('Category Rules'!$B$6:$B$125,$C732)))*('Category Rules'!$B$6:$B$125&lt;&gt;"")),'Category Rules'!$C$6:$C$125),"Uncategorized"))</f>
        <v/>
      </c>
      <c r="F732" s="108" t="n"/>
      <c r="G732" s="106">
        <f>IF($C732="","",IF($F732&lt;&gt;"",$F732,$E732))</f>
        <v/>
      </c>
      <c r="H732" s="82">
        <f>IF($B732="","",TEXT($B732,"mmm yyyy"))</f>
        <v/>
      </c>
    </row>
    <row r="733" ht="18" customHeight="1">
      <c r="A733" s="14" t="n"/>
      <c r="B733" s="98" t="inlineStr">
        <is>
          <t>2026-05-17</t>
        </is>
      </c>
      <c r="C733" s="99" t="inlineStr">
        <is>
          <t>WHATABURGER 1492</t>
        </is>
      </c>
      <c r="D733" s="100" t="n">
        <v>17.48</v>
      </c>
      <c r="E733" s="101">
        <f>IF($C733="","",IFERROR(LOOKUP(2,1/((ISNUMBER(SEARCH('Category Rules'!$B$6:$B$125,$C733)))*('Category Rules'!$B$6:$B$125&lt;&gt;"")),'Category Rules'!$C$6:$C$125),"Uncategorized"))</f>
        <v/>
      </c>
      <c r="F733" s="108" t="n"/>
      <c r="G733" s="103">
        <f>IF($C733="","",IF($F733&lt;&gt;"",$F733,$E733))</f>
        <v/>
      </c>
      <c r="H733" s="85">
        <f>IF($B733="","",TEXT($B733,"mmm yyyy"))</f>
        <v/>
      </c>
    </row>
    <row r="734" ht="18" customHeight="1">
      <c r="A734" s="10" t="n"/>
      <c r="B734" s="98" t="inlineStr">
        <is>
          <t>2026-05-18</t>
        </is>
      </c>
      <c r="C734" s="99" t="inlineStr">
        <is>
          <t>DORSEY'S SUPERM</t>
        </is>
      </c>
      <c r="D734" s="100" t="n">
        <v>4.84</v>
      </c>
      <c r="E734" s="104">
        <f>IF($C734="","",IFERROR(LOOKUP(2,1/((ISNUMBER(SEARCH('Category Rules'!$B$6:$B$125,$C734)))*('Category Rules'!$B$6:$B$125&lt;&gt;"")),'Category Rules'!$C$6:$C$125),"Uncategorized"))</f>
        <v/>
      </c>
      <c r="F734" s="108" t="n"/>
      <c r="G734" s="106">
        <f>IF($C734="","",IF($F734&lt;&gt;"",$F734,$E734))</f>
        <v/>
      </c>
      <c r="H734" s="82">
        <f>IF($B734="","",TEXT($B734,"mmm yyyy"))</f>
        <v/>
      </c>
    </row>
    <row r="735" ht="18" customHeight="1">
      <c r="A735" s="14" t="n"/>
      <c r="B735" s="98" t="inlineStr">
        <is>
          <t>2026-05-18</t>
        </is>
      </c>
      <c r="C735" s="99" t="inlineStr">
        <is>
          <t>JACK'S #200</t>
        </is>
      </c>
      <c r="D735" s="100" t="n">
        <v>10.11</v>
      </c>
      <c r="E735" s="101">
        <f>IF($C735="","",IFERROR(LOOKUP(2,1/((ISNUMBER(SEARCH('Category Rules'!$B$6:$B$125,$C735)))*('Category Rules'!$B$6:$B$125&lt;&gt;"")),'Category Rules'!$C$6:$C$125),"Uncategorized"))</f>
        <v/>
      </c>
      <c r="F735" s="108" t="n"/>
      <c r="G735" s="103">
        <f>IF($C735="","",IF($F735&lt;&gt;"",$F735,$E735))</f>
        <v/>
      </c>
      <c r="H735" s="85">
        <f>IF($B735="","",TEXT($B735,"mmm yyyy"))</f>
        <v/>
      </c>
    </row>
    <row r="736" ht="18" customHeight="1">
      <c r="A736" s="10" t="n"/>
      <c r="B736" s="98" t="inlineStr">
        <is>
          <t>2026-05-18</t>
        </is>
      </c>
      <c r="C736" s="99" t="inlineStr">
        <is>
          <t>CLAUDE.AI SUBSCRIPTION</t>
        </is>
      </c>
      <c r="D736" s="100" t="n">
        <v>20</v>
      </c>
      <c r="E736" s="104">
        <f>IF($C736="","",IFERROR(LOOKUP(2,1/((ISNUMBER(SEARCH('Category Rules'!$B$6:$B$125,$C736)))*('Category Rules'!$B$6:$B$125&lt;&gt;"")),'Category Rules'!$C$6:$C$125),"Uncategorized"))</f>
        <v/>
      </c>
      <c r="F736" s="108" t="n"/>
      <c r="G736" s="106">
        <f>IF($C736="","",IF($F736&lt;&gt;"",$F736,$E736))</f>
        <v/>
      </c>
      <c r="H736" s="82">
        <f>IF($B736="","",TEXT($B736,"mmm yyyy"))</f>
        <v/>
      </c>
    </row>
    <row r="737" ht="18" customHeight="1">
      <c r="A737" s="14" t="n"/>
      <c r="B737" s="98" t="inlineStr">
        <is>
          <t>2026-05-18</t>
        </is>
      </c>
      <c r="C737" s="99" t="inlineStr">
        <is>
          <t>JACK'S #200</t>
        </is>
      </c>
      <c r="D737" s="100" t="n">
        <v>4.06</v>
      </c>
      <c r="E737" s="101">
        <f>IF($C737="","",IFERROR(LOOKUP(2,1/((ISNUMBER(SEARCH('Category Rules'!$B$6:$B$125,$C737)))*('Category Rules'!$B$6:$B$125&lt;&gt;"")),'Category Rules'!$C$6:$C$125),"Uncategorized"))</f>
        <v/>
      </c>
      <c r="F737" s="108" t="n"/>
      <c r="G737" s="103">
        <f>IF($C737="","",IF($F737&lt;&gt;"",$F737,$E737))</f>
        <v/>
      </c>
      <c r="H737" s="85">
        <f>IF($B737="","",TEXT($B737,"mmm yyyy"))</f>
        <v/>
      </c>
    </row>
    <row r="738" ht="18" customHeight="1">
      <c r="A738" s="10" t="n"/>
      <c r="B738" s="98" t="inlineStr">
        <is>
          <t>2026-05-18</t>
        </is>
      </c>
      <c r="C738" s="99" t="inlineStr">
        <is>
          <t>WHATABURGER 1492</t>
        </is>
      </c>
      <c r="D738" s="100" t="n">
        <v>17.48</v>
      </c>
      <c r="E738" s="104">
        <f>IF($C738="","",IFERROR(LOOKUP(2,1/((ISNUMBER(SEARCH('Category Rules'!$B$6:$B$125,$C738)))*('Category Rules'!$B$6:$B$125&lt;&gt;"")),'Category Rules'!$C$6:$C$125),"Uncategorized"))</f>
        <v/>
      </c>
      <c r="F738" s="108" t="n"/>
      <c r="G738" s="106">
        <f>IF($C738="","",IF($F738&lt;&gt;"",$F738,$E738))</f>
        <v/>
      </c>
      <c r="H738" s="82">
        <f>IF($B738="","",TEXT($B738,"mmm yyyy"))</f>
        <v/>
      </c>
    </row>
    <row r="739" ht="18" customHeight="1">
      <c r="A739" s="14" t="n"/>
      <c r="B739" s="98" t="inlineStr">
        <is>
          <t>2026-05-18</t>
        </is>
      </c>
      <c r="C739" s="99" t="inlineStr">
        <is>
          <t>CALHOUN COUNTY W</t>
        </is>
      </c>
      <c r="D739" s="100" t="n">
        <v>86.5</v>
      </c>
      <c r="E739" s="101">
        <f>IF($C739="","",IFERROR(LOOKUP(2,1/((ISNUMBER(SEARCH('Category Rules'!$B$6:$B$125,$C739)))*('Category Rules'!$B$6:$B$125&lt;&gt;"")),'Category Rules'!$C$6:$C$125),"Uncategorized"))</f>
        <v/>
      </c>
      <c r="F739" s="108" t="n"/>
      <c r="G739" s="103">
        <f>IF($C739="","",IF($F739&lt;&gt;"",$F739,$E739))</f>
        <v/>
      </c>
      <c r="H739" s="85">
        <f>IF($B739="","",TEXT($B739,"mmm yyyy"))</f>
        <v/>
      </c>
    </row>
    <row r="740" ht="18" customHeight="1">
      <c r="A740" s="10" t="n"/>
      <c r="B740" s="98" t="inlineStr">
        <is>
          <t>2026-05-19</t>
        </is>
      </c>
      <c r="C740" s="99" t="inlineStr">
        <is>
          <t>DOLLAR-GENERAL # DG 005</t>
        </is>
      </c>
      <c r="D740" s="100" t="n">
        <v>11</v>
      </c>
      <c r="E740" s="104">
        <f>IF($C740="","",IFERROR(LOOKUP(2,1/((ISNUMBER(SEARCH('Category Rules'!$B$6:$B$125,$C740)))*('Category Rules'!$B$6:$B$125&lt;&gt;"")),'Category Rules'!$C$6:$C$125),"Uncategorized"))</f>
        <v/>
      </c>
      <c r="F740" s="108" t="n"/>
      <c r="G740" s="106">
        <f>IF($C740="","",IF($F740&lt;&gt;"",$F740,$E740))</f>
        <v/>
      </c>
      <c r="H740" s="82">
        <f>IF($B740="","",TEXT($B740,"mmm yyyy"))</f>
        <v/>
      </c>
    </row>
    <row r="741" ht="18" customHeight="1">
      <c r="A741" s="14" t="n"/>
      <c r="B741" s="98" t="inlineStr">
        <is>
          <t>2026-05-19</t>
        </is>
      </c>
      <c r="C741" s="99" t="inlineStr">
        <is>
          <t>W. M. GROCERY</t>
        </is>
      </c>
      <c r="D741" s="100" t="n">
        <v>3.17</v>
      </c>
      <c r="E741" s="101">
        <f>IF($C741="","",IFERROR(LOOKUP(2,1/((ISNUMBER(SEARCH('Category Rules'!$B$6:$B$125,$C741)))*('Category Rules'!$B$6:$B$125&lt;&gt;"")),'Category Rules'!$C$6:$C$125),"Uncategorized"))</f>
        <v/>
      </c>
      <c r="F741" s="108" t="n"/>
      <c r="G741" s="103">
        <f>IF($C741="","",IF($F741&lt;&gt;"",$F741,$E741))</f>
        <v/>
      </c>
      <c r="H741" s="85">
        <f>IF($B741="","",TEXT($B741,"mmm yyyy"))</f>
        <v/>
      </c>
    </row>
    <row r="742" ht="18" customHeight="1">
      <c r="A742" s="10" t="n"/>
      <c r="B742" s="98" t="inlineStr">
        <is>
          <t>2026-05-19</t>
        </is>
      </c>
      <c r="C742" s="99" t="inlineStr">
        <is>
          <t>PIGGLY WIGGLY O</t>
        </is>
      </c>
      <c r="D742" s="100" t="n">
        <v>3.76</v>
      </c>
      <c r="E742" s="104">
        <f>IF($C742="","",IFERROR(LOOKUP(2,1/((ISNUMBER(SEARCH('Category Rules'!$B$6:$B$125,$C742)))*('Category Rules'!$B$6:$B$125&lt;&gt;"")),'Category Rules'!$C$6:$C$125),"Uncategorized"))</f>
        <v/>
      </c>
      <c r="F742" s="108" t="n"/>
      <c r="G742" s="106">
        <f>IF($C742="","",IF($F742&lt;&gt;"",$F742,$E742))</f>
        <v/>
      </c>
      <c r="H742" s="82">
        <f>IF($B742="","",TEXT($B742,"mmm yyyy"))</f>
        <v/>
      </c>
    </row>
    <row r="743" ht="18" customHeight="1">
      <c r="A743" s="14" t="n"/>
      <c r="B743" s="98" t="inlineStr">
        <is>
          <t>2026-05-19</t>
        </is>
      </c>
      <c r="C743" s="99" t="inlineStr">
        <is>
          <t>PIGGLY WIGGLY O</t>
        </is>
      </c>
      <c r="D743" s="100" t="n">
        <v>1.31</v>
      </c>
      <c r="E743" s="101">
        <f>IF($C743="","",IFERROR(LOOKUP(2,1/((ISNUMBER(SEARCH('Category Rules'!$B$6:$B$125,$C743)))*('Category Rules'!$B$6:$B$125&lt;&gt;"")),'Category Rules'!$C$6:$C$125),"Uncategorized"))</f>
        <v/>
      </c>
      <c r="F743" s="108" t="n"/>
      <c r="G743" s="103">
        <f>IF($C743="","",IF($F743&lt;&gt;"",$F743,$E743))</f>
        <v/>
      </c>
      <c r="H743" s="85">
        <f>IF($B743="","",TEXT($B743,"mmm yyyy"))</f>
        <v/>
      </c>
    </row>
    <row r="744" ht="18" customHeight="1">
      <c r="A744" s="10" t="n"/>
      <c r="B744" s="98" t="inlineStr">
        <is>
          <t>2026-05-19</t>
        </is>
      </c>
      <c r="C744" s="99" t="inlineStr">
        <is>
          <t>PIC'N SAVE #248 OXFORD</t>
        </is>
      </c>
      <c r="D744" s="100" t="n">
        <v>2.33</v>
      </c>
      <c r="E744" s="104">
        <f>IF($C744="","",IFERROR(LOOKUP(2,1/((ISNUMBER(SEARCH('Category Rules'!$B$6:$B$125,$C744)))*('Category Rules'!$B$6:$B$125&lt;&gt;"")),'Category Rules'!$C$6:$C$125),"Uncategorized"))</f>
        <v/>
      </c>
      <c r="F744" s="108" t="n"/>
      <c r="G744" s="106">
        <f>IF($C744="","",IF($F744&lt;&gt;"",$F744,$E744))</f>
        <v/>
      </c>
      <c r="H744" s="82">
        <f>IF($B744="","",TEXT($B744,"mmm yyyy"))</f>
        <v/>
      </c>
    </row>
    <row r="745" ht="18" customHeight="1">
      <c r="A745" s="14" t="n"/>
      <c r="B745" s="98" t="inlineStr">
        <is>
          <t>2026-05-19</t>
        </is>
      </c>
      <c r="C745" s="99" t="inlineStr">
        <is>
          <t>MCDONALD'S F6920</t>
        </is>
      </c>
      <c r="D745" s="100" t="n">
        <v>8.23</v>
      </c>
      <c r="E745" s="101">
        <f>IF($C745="","",IFERROR(LOOKUP(2,1/((ISNUMBER(SEARCH('Category Rules'!$B$6:$B$125,$C745)))*('Category Rules'!$B$6:$B$125&lt;&gt;"")),'Category Rules'!$C$6:$C$125),"Uncategorized"))</f>
        <v/>
      </c>
      <c r="F745" s="108" t="n"/>
      <c r="G745" s="103">
        <f>IF($C745="","",IF($F745&lt;&gt;"",$F745,$E745))</f>
        <v/>
      </c>
      <c r="H745" s="85">
        <f>IF($B745="","",TEXT($B745,"mmm yyyy"))</f>
        <v/>
      </c>
    </row>
    <row r="746" ht="18" customHeight="1">
      <c r="A746" s="10" t="n"/>
      <c r="B746" s="98" t="inlineStr">
        <is>
          <t>2026-05-19</t>
        </is>
      </c>
      <c r="C746" s="99" t="inlineStr">
        <is>
          <t>Bojangles 0914</t>
        </is>
      </c>
      <c r="D746" s="100" t="n">
        <v>12.52</v>
      </c>
      <c r="E746" s="104">
        <f>IF($C746="","",IFERROR(LOOKUP(2,1/((ISNUMBER(SEARCH('Category Rules'!$B$6:$B$125,$C746)))*('Category Rules'!$B$6:$B$125&lt;&gt;"")),'Category Rules'!$C$6:$C$125),"Uncategorized"))</f>
        <v/>
      </c>
      <c r="F746" s="108" t="n"/>
      <c r="G746" s="106">
        <f>IF($C746="","",IF($F746&lt;&gt;"",$F746,$E746))</f>
        <v/>
      </c>
      <c r="H746" s="82">
        <f>IF($B746="","",TEXT($B746,"mmm yyyy"))</f>
        <v/>
      </c>
    </row>
    <row r="747" ht="18" customHeight="1">
      <c r="A747" s="14" t="n"/>
      <c r="B747" s="98" t="inlineStr">
        <is>
          <t>2026-05-19</t>
        </is>
      </c>
      <c r="C747" s="99" t="inlineStr">
        <is>
          <t>JACK'S #203</t>
        </is>
      </c>
      <c r="D747" s="100" t="n">
        <v>6.53</v>
      </c>
      <c r="E747" s="101">
        <f>IF($C747="","",IFERROR(LOOKUP(2,1/((ISNUMBER(SEARCH('Category Rules'!$B$6:$B$125,$C747)))*('Category Rules'!$B$6:$B$125&lt;&gt;"")),'Category Rules'!$C$6:$C$125),"Uncategorized"))</f>
        <v/>
      </c>
      <c r="F747" s="108" t="n"/>
      <c r="G747" s="103">
        <f>IF($C747="","",IF($F747&lt;&gt;"",$F747,$E747))</f>
        <v/>
      </c>
      <c r="H747" s="85">
        <f>IF($B747="","",TEXT($B747,"mmm yyyy"))</f>
        <v/>
      </c>
    </row>
    <row r="748" ht="18" customHeight="1">
      <c r="A748" s="10" t="n"/>
      <c r="B748" s="98" t="inlineStr">
        <is>
          <t>2026-05-19</t>
        </is>
      </c>
      <c r="C748" s="99" t="inlineStr">
        <is>
          <t>JACK'S #200</t>
        </is>
      </c>
      <c r="D748" s="100" t="n">
        <v>9.34</v>
      </c>
      <c r="E748" s="104">
        <f>IF($C748="","",IFERROR(LOOKUP(2,1/((ISNUMBER(SEARCH('Category Rules'!$B$6:$B$125,$C748)))*('Category Rules'!$B$6:$B$125&lt;&gt;"")),'Category Rules'!$C$6:$C$125),"Uncategorized"))</f>
        <v/>
      </c>
      <c r="F748" s="108" t="n"/>
      <c r="G748" s="106">
        <f>IF($C748="","",IF($F748&lt;&gt;"",$F748,$E748))</f>
        <v/>
      </c>
      <c r="H748" s="82">
        <f>IF($B748="","",TEXT($B748,"mmm yyyy"))</f>
        <v/>
      </c>
    </row>
    <row r="749" ht="18" customHeight="1">
      <c r="A749" s="14" t="n"/>
      <c r="B749" s="98" t="inlineStr">
        <is>
          <t>2026-05-19</t>
        </is>
      </c>
      <c r="C749" s="99" t="inlineStr">
        <is>
          <t>W. M. GROCERY</t>
        </is>
      </c>
      <c r="D749" s="100" t="n">
        <v>3.17</v>
      </c>
      <c r="E749" s="101">
        <f>IF($C749="","",IFERROR(LOOKUP(2,1/((ISNUMBER(SEARCH('Category Rules'!$B$6:$B$125,$C749)))*('Category Rules'!$B$6:$B$125&lt;&gt;"")),'Category Rules'!$C$6:$C$125),"Uncategorized"))</f>
        <v/>
      </c>
      <c r="F749" s="108" t="n"/>
      <c r="G749" s="103">
        <f>IF($C749="","",IF($F749&lt;&gt;"",$F749,$E749))</f>
        <v/>
      </c>
      <c r="H749" s="85">
        <f>IF($B749="","",TEXT($B749,"mmm yyyy"))</f>
        <v/>
      </c>
    </row>
    <row r="750" ht="18" customHeight="1">
      <c r="A750" s="10" t="n"/>
      <c r="B750" s="98" t="inlineStr">
        <is>
          <t>2026-05-20</t>
        </is>
      </c>
      <c r="C750" s="99" t="inlineStr">
        <is>
          <t>PIC'N SAVE #248 OXFORD</t>
        </is>
      </c>
      <c r="D750" s="100" t="n">
        <v>2.46</v>
      </c>
      <c r="E750" s="104">
        <f>IF($C750="","",IFERROR(LOOKUP(2,1/((ISNUMBER(SEARCH('Category Rules'!$B$6:$B$125,$C750)))*('Category Rules'!$B$6:$B$125&lt;&gt;"")),'Category Rules'!$C$6:$C$125),"Uncategorized"))</f>
        <v/>
      </c>
      <c r="F750" s="108" t="n"/>
      <c r="G750" s="106">
        <f>IF($C750="","",IF($F750&lt;&gt;"",$F750,$E750))</f>
        <v/>
      </c>
      <c r="H750" s="82">
        <f>IF($B750="","",TEXT($B750,"mmm yyyy"))</f>
        <v/>
      </c>
    </row>
    <row r="751" ht="18" customHeight="1">
      <c r="A751" s="14" t="n"/>
      <c r="B751" s="98" t="inlineStr">
        <is>
          <t>2026-05-20</t>
        </is>
      </c>
      <c r="C751" s="99" t="inlineStr">
        <is>
          <t>PIC'N SAVE #248 OXFORD</t>
        </is>
      </c>
      <c r="D751" s="100" t="n">
        <v>9.029999999999999</v>
      </c>
      <c r="E751" s="101">
        <f>IF($C751="","",IFERROR(LOOKUP(2,1/((ISNUMBER(SEARCH('Category Rules'!$B$6:$B$125,$C751)))*('Category Rules'!$B$6:$B$125&lt;&gt;"")),'Category Rules'!$C$6:$C$125),"Uncategorized"))</f>
        <v/>
      </c>
      <c r="F751" s="108" t="n"/>
      <c r="G751" s="103">
        <f>IF($C751="","",IF($F751&lt;&gt;"",$F751,$E751))</f>
        <v/>
      </c>
      <c r="H751" s="85">
        <f>IF($B751="","",TEXT($B751,"mmm yyyy"))</f>
        <v/>
      </c>
    </row>
    <row r="752" ht="18" customHeight="1">
      <c r="A752" s="10" t="n"/>
      <c r="B752" s="98" t="inlineStr">
        <is>
          <t>2026-05-20</t>
        </is>
      </c>
      <c r="C752" s="99" t="inlineStr">
        <is>
          <t>Bojangles 0914</t>
        </is>
      </c>
      <c r="D752" s="100" t="n">
        <v>8.130000000000001</v>
      </c>
      <c r="E752" s="104">
        <f>IF($C752="","",IFERROR(LOOKUP(2,1/((ISNUMBER(SEARCH('Category Rules'!$B$6:$B$125,$C752)))*('Category Rules'!$B$6:$B$125&lt;&gt;"")),'Category Rules'!$C$6:$C$125),"Uncategorized"))</f>
        <v/>
      </c>
      <c r="F752" s="108" t="n"/>
      <c r="G752" s="106">
        <f>IF($C752="","",IF($F752&lt;&gt;"",$F752,$E752))</f>
        <v/>
      </c>
      <c r="H752" s="82">
        <f>IF($B752="","",TEXT($B752,"mmm yyyy"))</f>
        <v/>
      </c>
    </row>
    <row r="753" ht="18" customHeight="1">
      <c r="A753" s="14" t="n"/>
      <c r="B753" s="98" t="inlineStr">
        <is>
          <t>2026-05-20</t>
        </is>
      </c>
      <c r="C753" s="99" t="inlineStr">
        <is>
          <t>TACO BELL #7029147</t>
        </is>
      </c>
      <c r="D753" s="100" t="n">
        <v>8.75</v>
      </c>
      <c r="E753" s="101">
        <f>IF($C753="","",IFERROR(LOOKUP(2,1/((ISNUMBER(SEARCH('Category Rules'!$B$6:$B$125,$C753)))*('Category Rules'!$B$6:$B$125&lt;&gt;"")),'Category Rules'!$C$6:$C$125),"Uncategorized"))</f>
        <v/>
      </c>
      <c r="F753" s="108" t="n"/>
      <c r="G753" s="103">
        <f>IF($C753="","",IF($F753&lt;&gt;"",$F753,$E753))</f>
        <v/>
      </c>
      <c r="H753" s="85">
        <f>IF($B753="","",TEXT($B753,"mmm yyyy"))</f>
        <v/>
      </c>
    </row>
    <row r="754" ht="18" customHeight="1">
      <c r="A754" s="10" t="n"/>
      <c r="B754" s="98" t="inlineStr">
        <is>
          <t>2026-05-20</t>
        </is>
      </c>
      <c r="C754" s="99" t="inlineStr">
        <is>
          <t>sparklightacp</t>
        </is>
      </c>
      <c r="D754" s="100" t="n">
        <v>24.95</v>
      </c>
      <c r="E754" s="104">
        <f>IF($C754="","",IFERROR(LOOKUP(2,1/((ISNUMBER(SEARCH('Category Rules'!$B$6:$B$125,$C754)))*('Category Rules'!$B$6:$B$125&lt;&gt;"")),'Category Rules'!$C$6:$C$125),"Uncategorized"))</f>
        <v/>
      </c>
      <c r="F754" s="108" t="n"/>
      <c r="G754" s="106">
        <f>IF($C754="","",IF($F754&lt;&gt;"",$F754,$E754))</f>
        <v/>
      </c>
      <c r="H754" s="82">
        <f>IF($B754="","",TEXT($B754,"mmm yyyy"))</f>
        <v/>
      </c>
    </row>
    <row r="755" ht="18" customHeight="1">
      <c r="A755" s="14" t="n"/>
      <c r="B755" s="98" t="inlineStr">
        <is>
          <t>2026-05-21</t>
        </is>
      </c>
      <c r="C755" s="99" t="inlineStr">
        <is>
          <t>DOLLAR GENERAL # DG 203</t>
        </is>
      </c>
      <c r="D755" s="100" t="n">
        <v>17.76</v>
      </c>
      <c r="E755" s="101">
        <f>IF($C755="","",IFERROR(LOOKUP(2,1/((ISNUMBER(SEARCH('Category Rules'!$B$6:$B$125,$C755)))*('Category Rules'!$B$6:$B$125&lt;&gt;"")),'Category Rules'!$C$6:$C$125),"Uncategorized"))</f>
        <v/>
      </c>
      <c r="F755" s="108" t="n"/>
      <c r="G755" s="103">
        <f>IF($C755="","",IF($F755&lt;&gt;"",$F755,$E755))</f>
        <v/>
      </c>
      <c r="H755" s="85">
        <f>IF($B755="","",TEXT($B755,"mmm yyyy"))</f>
        <v/>
      </c>
    </row>
    <row r="756" ht="18" customHeight="1">
      <c r="A756" s="10" t="n"/>
      <c r="B756" s="98" t="inlineStr">
        <is>
          <t>2026-05-21</t>
        </is>
      </c>
      <c r="C756" s="99" t="inlineStr">
        <is>
          <t>DOLLAR GENERAL # DG 203</t>
        </is>
      </c>
      <c r="D756" s="100" t="n">
        <v>3.85</v>
      </c>
      <c r="E756" s="104">
        <f>IF($C756="","",IFERROR(LOOKUP(2,1/((ISNUMBER(SEARCH('Category Rules'!$B$6:$B$125,$C756)))*('Category Rules'!$B$6:$B$125&lt;&gt;"")),'Category Rules'!$C$6:$C$125),"Uncategorized"))</f>
        <v/>
      </c>
      <c r="F756" s="108" t="n"/>
      <c r="G756" s="106">
        <f>IF($C756="","",IF($F756&lt;&gt;"",$F756,$E756))</f>
        <v/>
      </c>
      <c r="H756" s="82">
        <f>IF($B756="","",TEXT($B756,"mmm yyyy"))</f>
        <v/>
      </c>
    </row>
    <row r="757" ht="18" customHeight="1">
      <c r="A757" s="14" t="n"/>
      <c r="B757" s="98" t="inlineStr">
        <is>
          <t>2026-05-21</t>
        </is>
      </c>
      <c r="C757" s="99" t="inlineStr">
        <is>
          <t>MAPCO 5108 706 PELHAM R</t>
        </is>
      </c>
      <c r="D757" s="100" t="n">
        <v>53.3</v>
      </c>
      <c r="E757" s="101">
        <f>IF($C757="","",IFERROR(LOOKUP(2,1/((ISNUMBER(SEARCH('Category Rules'!$B$6:$B$125,$C757)))*('Category Rules'!$B$6:$B$125&lt;&gt;"")),'Category Rules'!$C$6:$C$125),"Uncategorized"))</f>
        <v/>
      </c>
      <c r="F757" s="108" t="n"/>
      <c r="G757" s="103">
        <f>IF($C757="","",IF($F757&lt;&gt;"",$F757,$E757))</f>
        <v/>
      </c>
      <c r="H757" s="85">
        <f>IF($B757="","",TEXT($B757,"mmm yyyy"))</f>
        <v/>
      </c>
    </row>
    <row r="758" ht="18" customHeight="1">
      <c r="A758" s="10" t="n"/>
      <c r="B758" s="98" t="inlineStr">
        <is>
          <t>2026-05-21</t>
        </is>
      </c>
      <c r="C758" s="99" t="inlineStr">
        <is>
          <t>MONARCH MONEY APP</t>
        </is>
      </c>
      <c r="D758" s="100" t="n">
        <v>14.99</v>
      </c>
      <c r="E758" s="104">
        <f>IF($C758="","",IFERROR(LOOKUP(2,1/((ISNUMBER(SEARCH('Category Rules'!$B$6:$B$125,$C758)))*('Category Rules'!$B$6:$B$125&lt;&gt;"")),'Category Rules'!$C$6:$C$125),"Uncategorized"))</f>
        <v/>
      </c>
      <c r="F758" s="108" t="n"/>
      <c r="G758" s="106">
        <f>IF($C758="","",IF($F758&lt;&gt;"",$F758,$E758))</f>
        <v/>
      </c>
      <c r="H758" s="82">
        <f>IF($B758="","",TEXT($B758,"mmm yyyy"))</f>
        <v/>
      </c>
    </row>
    <row r="759" ht="18" customHeight="1">
      <c r="A759" s="14" t="n"/>
      <c r="B759" s="98" t="inlineStr">
        <is>
          <t>2026-05-22</t>
        </is>
      </c>
      <c r="C759" s="99" t="inlineStr">
        <is>
          <t>SITE356853- CHE</t>
        </is>
      </c>
      <c r="D759" s="100" t="n">
        <v>7.69</v>
      </c>
      <c r="E759" s="101">
        <f>IF($C759="","",IFERROR(LOOKUP(2,1/((ISNUMBER(SEARCH('Category Rules'!$B$6:$B$125,$C759)))*('Category Rules'!$B$6:$B$125&lt;&gt;"")),'Category Rules'!$C$6:$C$125),"Uncategorized"))</f>
        <v/>
      </c>
      <c r="F759" s="108" t="n"/>
      <c r="G759" s="103">
        <f>IF($C759="","",IF($F759&lt;&gt;"",$F759,$E759))</f>
        <v/>
      </c>
      <c r="H759" s="85">
        <f>IF($B759="","",TEXT($B759,"mmm yyyy"))</f>
        <v/>
      </c>
    </row>
    <row r="760" ht="18" customHeight="1">
      <c r="A760" s="10" t="n"/>
      <c r="B760" s="98" t="inlineStr">
        <is>
          <t>2026-05-22</t>
        </is>
      </c>
      <c r="C760" s="99" t="inlineStr">
        <is>
          <t>JACK'S #200</t>
        </is>
      </c>
      <c r="D760" s="100" t="n">
        <v>9.119999999999999</v>
      </c>
      <c r="E760" s="104">
        <f>IF($C760="","",IFERROR(LOOKUP(2,1/((ISNUMBER(SEARCH('Category Rules'!$B$6:$B$125,$C760)))*('Category Rules'!$B$6:$B$125&lt;&gt;"")),'Category Rules'!$C$6:$C$125),"Uncategorized"))</f>
        <v/>
      </c>
      <c r="F760" s="108" t="n"/>
      <c r="G760" s="106">
        <f>IF($C760="","",IF($F760&lt;&gt;"",$F760,$E760))</f>
        <v/>
      </c>
      <c r="H760" s="82">
        <f>IF($B760="","",TEXT($B760,"mmm yyyy"))</f>
        <v/>
      </c>
    </row>
    <row r="761" ht="18" customHeight="1">
      <c r="A761" s="14" t="n"/>
      <c r="B761" s="98" t="inlineStr">
        <is>
          <t>2026-05-22</t>
        </is>
      </c>
      <c r="C761" s="99" t="inlineStr">
        <is>
          <t>JACK'S #200</t>
        </is>
      </c>
      <c r="D761" s="100" t="n">
        <v>7.14</v>
      </c>
      <c r="E761" s="101">
        <f>IF($C761="","",IFERROR(LOOKUP(2,1/((ISNUMBER(SEARCH('Category Rules'!$B$6:$B$125,$C761)))*('Category Rules'!$B$6:$B$125&lt;&gt;"")),'Category Rules'!$C$6:$C$125),"Uncategorized"))</f>
        <v/>
      </c>
      <c r="F761" s="108" t="n"/>
      <c r="G761" s="103">
        <f>IF($C761="","",IF($F761&lt;&gt;"",$F761,$E761))</f>
        <v/>
      </c>
      <c r="H761" s="85">
        <f>IF($B761="","",TEXT($B761,"mmm yyyy"))</f>
        <v/>
      </c>
    </row>
    <row r="762" ht="18" customHeight="1">
      <c r="A762" s="10" t="n"/>
      <c r="B762" s="98" t="inlineStr">
        <is>
          <t>2026-05-22</t>
        </is>
      </c>
      <c r="C762" s="99" t="inlineStr">
        <is>
          <t>STATE FARM INSURANCE</t>
        </is>
      </c>
      <c r="D762" s="100" t="n">
        <v>189.92</v>
      </c>
      <c r="E762" s="104">
        <f>IF($C762="","",IFERROR(LOOKUP(2,1/((ISNUMBER(SEARCH('Category Rules'!$B$6:$B$125,$C762)))*('Category Rules'!$B$6:$B$125&lt;&gt;"")),'Category Rules'!$C$6:$C$125),"Uncategorized"))</f>
        <v/>
      </c>
      <c r="F762" s="108" t="n"/>
      <c r="G762" s="106">
        <f>IF($C762="","",IF($F762&lt;&gt;"",$F762,$E762))</f>
        <v/>
      </c>
      <c r="H762" s="82">
        <f>IF($B762="","",TEXT($B762,"mmm yyyy"))</f>
        <v/>
      </c>
    </row>
    <row r="763" ht="18" customHeight="1">
      <c r="A763" s="14" t="n"/>
      <c r="B763" s="98" t="inlineStr">
        <is>
          <t>2026-05-22</t>
        </is>
      </c>
      <c r="C763" s="99" t="inlineStr">
        <is>
          <t>JACK'S #200</t>
        </is>
      </c>
      <c r="D763" s="100" t="n">
        <v>6.81</v>
      </c>
      <c r="E763" s="101">
        <f>IF($C763="","",IFERROR(LOOKUP(2,1/((ISNUMBER(SEARCH('Category Rules'!$B$6:$B$125,$C763)))*('Category Rules'!$B$6:$B$125&lt;&gt;"")),'Category Rules'!$C$6:$C$125),"Uncategorized"))</f>
        <v/>
      </c>
      <c r="F763" s="108" t="n"/>
      <c r="G763" s="103">
        <f>IF($C763="","",IF($F763&lt;&gt;"",$F763,$E763))</f>
        <v/>
      </c>
      <c r="H763" s="85">
        <f>IF($B763="","",TEXT($B763,"mmm yyyy"))</f>
        <v/>
      </c>
    </row>
    <row r="764" ht="18" customHeight="1">
      <c r="A764" s="10" t="n"/>
      <c r="B764" s="98" t="inlineStr">
        <is>
          <t>2026-05-22</t>
        </is>
      </c>
      <c r="C764" s="99" t="inlineStr">
        <is>
          <t>STATE FARM INSURANCE</t>
        </is>
      </c>
      <c r="D764" s="100" t="n">
        <v>79.33</v>
      </c>
      <c r="E764" s="104">
        <f>IF($C764="","",IFERROR(LOOKUP(2,1/((ISNUMBER(SEARCH('Category Rules'!$B$6:$B$125,$C764)))*('Category Rules'!$B$6:$B$125&lt;&gt;"")),'Category Rules'!$C$6:$C$125),"Uncategorized"))</f>
        <v/>
      </c>
      <c r="F764" s="108" t="n"/>
      <c r="G764" s="106">
        <f>IF($C764="","",IF($F764&lt;&gt;"",$F764,$E764))</f>
        <v/>
      </c>
      <c r="H764" s="82">
        <f>IF($B764="","",TEXT($B764,"mmm yyyy"))</f>
        <v/>
      </c>
    </row>
    <row r="765" ht="18" customHeight="1">
      <c r="A765" s="14" t="n"/>
      <c r="B765" s="98" t="inlineStr">
        <is>
          <t>2026-05-22</t>
        </is>
      </c>
      <c r="C765" s="99" t="inlineStr">
        <is>
          <t>PIGGLY WIGGLY O</t>
        </is>
      </c>
      <c r="D765" s="100" t="n">
        <v>2.63</v>
      </c>
      <c r="E765" s="101">
        <f>IF($C765="","",IFERROR(LOOKUP(2,1/((ISNUMBER(SEARCH('Category Rules'!$B$6:$B$125,$C765)))*('Category Rules'!$B$6:$B$125&lt;&gt;"")),'Category Rules'!$C$6:$C$125),"Uncategorized"))</f>
        <v/>
      </c>
      <c r="F765" s="108" t="n"/>
      <c r="G765" s="103">
        <f>IF($C765="","",IF($F765&lt;&gt;"",$F765,$E765))</f>
        <v/>
      </c>
      <c r="H765" s="85">
        <f>IF($B765="","",TEXT($B765,"mmm yyyy"))</f>
        <v/>
      </c>
    </row>
    <row r="766" ht="18" customHeight="1">
      <c r="A766" s="10" t="n"/>
      <c r="B766" s="98" t="inlineStr">
        <is>
          <t>2026-05-23</t>
        </is>
      </c>
      <c r="C766" s="99" t="inlineStr">
        <is>
          <t>MAPCO 5108 706 PELHAM R</t>
        </is>
      </c>
      <c r="D766" s="100" t="n">
        <v>65.06999999999999</v>
      </c>
      <c r="E766" s="104">
        <f>IF($C766="","",IFERROR(LOOKUP(2,1/((ISNUMBER(SEARCH('Category Rules'!$B$6:$B$125,$C766)))*('Category Rules'!$B$6:$B$125&lt;&gt;"")),'Category Rules'!$C$6:$C$125),"Uncategorized"))</f>
        <v/>
      </c>
      <c r="F766" s="108" t="n"/>
      <c r="G766" s="106">
        <f>IF($C766="","",IF($F766&lt;&gt;"",$F766,$E766))</f>
        <v/>
      </c>
      <c r="H766" s="82">
        <f>IF($B766="","",TEXT($B766,"mmm yyyy"))</f>
        <v/>
      </c>
    </row>
    <row r="767" ht="18" customHeight="1">
      <c r="A767" s="14" t="n"/>
      <c r="B767" s="98" t="inlineStr">
        <is>
          <t>2026-05-23</t>
        </is>
      </c>
      <c r="C767" s="99" t="inlineStr">
        <is>
          <t>MAPCO 5108 706 PELHAM R</t>
        </is>
      </c>
      <c r="D767" s="100" t="n">
        <v>6.11</v>
      </c>
      <c r="E767" s="101">
        <f>IF($C767="","",IFERROR(LOOKUP(2,1/((ISNUMBER(SEARCH('Category Rules'!$B$6:$B$125,$C767)))*('Category Rules'!$B$6:$B$125&lt;&gt;"")),'Category Rules'!$C$6:$C$125),"Uncategorized"))</f>
        <v/>
      </c>
      <c r="F767" s="108" t="n"/>
      <c r="G767" s="103">
        <f>IF($C767="","",IF($F767&lt;&gt;"",$F767,$E767))</f>
        <v/>
      </c>
      <c r="H767" s="85">
        <f>IF($B767="","",TEXT($B767,"mmm yyyy"))</f>
        <v/>
      </c>
    </row>
    <row r="768" ht="18" customHeight="1">
      <c r="A768" s="10" t="n"/>
      <c r="B768" s="98" t="inlineStr">
        <is>
          <t>2026-05-23</t>
        </is>
      </c>
      <c r="C768" s="99" t="inlineStr">
        <is>
          <t>W. M. GROCERY</t>
        </is>
      </c>
      <c r="D768" s="100" t="n">
        <v>14.08</v>
      </c>
      <c r="E768" s="104">
        <f>IF($C768="","",IFERROR(LOOKUP(2,1/((ISNUMBER(SEARCH('Category Rules'!$B$6:$B$125,$C768)))*('Category Rules'!$B$6:$B$125&lt;&gt;"")),'Category Rules'!$C$6:$C$125),"Uncategorized"))</f>
        <v/>
      </c>
      <c r="F768" s="108" t="n"/>
      <c r="G768" s="106">
        <f>IF($C768="","",IF($F768&lt;&gt;"",$F768,$E768))</f>
        <v/>
      </c>
      <c r="H768" s="82">
        <f>IF($B768="","",TEXT($B768,"mmm yyyy"))</f>
        <v/>
      </c>
    </row>
    <row r="769" ht="18" customHeight="1">
      <c r="A769" s="14" t="n"/>
      <c r="B769" s="98" t="inlineStr">
        <is>
          <t>2026-05-23</t>
        </is>
      </c>
      <c r="C769" s="99" t="inlineStr">
        <is>
          <t>PIGGLY WIGGLY O</t>
        </is>
      </c>
      <c r="D769" s="100" t="n">
        <v>1.75</v>
      </c>
      <c r="E769" s="101">
        <f>IF($C769="","",IFERROR(LOOKUP(2,1/((ISNUMBER(SEARCH('Category Rules'!$B$6:$B$125,$C769)))*('Category Rules'!$B$6:$B$125&lt;&gt;"")),'Category Rules'!$C$6:$C$125),"Uncategorized"))</f>
        <v/>
      </c>
      <c r="F769" s="108" t="n"/>
      <c r="G769" s="103">
        <f>IF($C769="","",IF($F769&lt;&gt;"",$F769,$E769))</f>
        <v/>
      </c>
      <c r="H769" s="85">
        <f>IF($B769="","",TEXT($B769,"mmm yyyy"))</f>
        <v/>
      </c>
    </row>
    <row r="770" ht="18" customHeight="1">
      <c r="A770" s="10" t="n"/>
      <c r="B770" s="98" t="inlineStr">
        <is>
          <t>2026-05-23</t>
        </is>
      </c>
      <c r="C770" s="99" t="inlineStr">
        <is>
          <t>TST* ROCK N ROOSTER SA</t>
        </is>
      </c>
      <c r="D770" s="100" t="n">
        <v>66.26000000000001</v>
      </c>
      <c r="E770" s="104">
        <f>IF($C770="","",IFERROR(LOOKUP(2,1/((ISNUMBER(SEARCH('Category Rules'!$B$6:$B$125,$C770)))*('Category Rules'!$B$6:$B$125&lt;&gt;"")),'Category Rules'!$C$6:$C$125),"Uncategorized"))</f>
        <v/>
      </c>
      <c r="F770" s="108" t="n"/>
      <c r="G770" s="106">
        <f>IF($C770="","",IF($F770&lt;&gt;"",$F770,$E770))</f>
        <v/>
      </c>
      <c r="H770" s="82">
        <f>IF($B770="","",TEXT($B770,"mmm yyyy"))</f>
        <v/>
      </c>
    </row>
    <row r="771" ht="18" customHeight="1">
      <c r="A771" s="14" t="n"/>
      <c r="B771" s="98" t="inlineStr">
        <is>
          <t>2026-05-23</t>
        </is>
      </c>
      <c r="C771" s="99" t="inlineStr">
        <is>
          <t>JEFFERSON'S OF JACKSON</t>
        </is>
      </c>
      <c r="D771" s="100" t="n">
        <v>16.59</v>
      </c>
      <c r="E771" s="101">
        <f>IF($C771="","",IFERROR(LOOKUP(2,1/((ISNUMBER(SEARCH('Category Rules'!$B$6:$B$125,$C771)))*('Category Rules'!$B$6:$B$125&lt;&gt;"")),'Category Rules'!$C$6:$C$125),"Uncategorized"))</f>
        <v/>
      </c>
      <c r="F771" s="108" t="n"/>
      <c r="G771" s="103">
        <f>IF($C771="","",IF($F771&lt;&gt;"",$F771,$E771))</f>
        <v/>
      </c>
      <c r="H771" s="85">
        <f>IF($B771="","",TEXT($B771,"mmm yyyy"))</f>
        <v/>
      </c>
    </row>
    <row r="772" ht="18" customHeight="1">
      <c r="A772" s="10" t="n"/>
      <c r="B772" s="98" t="inlineStr">
        <is>
          <t>2026-05-23</t>
        </is>
      </c>
      <c r="C772" s="99" t="inlineStr">
        <is>
          <t>CIRCLE K # 09321 88810</t>
        </is>
      </c>
      <c r="D772" s="100" t="n">
        <v>3.87</v>
      </c>
      <c r="E772" s="104">
        <f>IF($C772="","",IFERROR(LOOKUP(2,1/((ISNUMBER(SEARCH('Category Rules'!$B$6:$B$125,$C772)))*('Category Rules'!$B$6:$B$125&lt;&gt;"")),'Category Rules'!$C$6:$C$125),"Uncategorized"))</f>
        <v/>
      </c>
      <c r="F772" s="108" t="n"/>
      <c r="G772" s="106">
        <f>IF($C772="","",IF($F772&lt;&gt;"",$F772,$E772))</f>
        <v/>
      </c>
      <c r="H772" s="82">
        <f>IF($B772="","",TEXT($B772,"mmm yyyy"))</f>
        <v/>
      </c>
    </row>
    <row r="773" ht="18" customHeight="1">
      <c r="A773" s="14" t="n"/>
      <c r="B773" s="98" t="inlineStr">
        <is>
          <t>2026-05-23</t>
        </is>
      </c>
      <c r="C773" s="99" t="inlineStr">
        <is>
          <t>CHEVRON 0385649</t>
        </is>
      </c>
      <c r="D773" s="100" t="n">
        <v>30.01</v>
      </c>
      <c r="E773" s="101">
        <f>IF($C773="","",IFERROR(LOOKUP(2,1/((ISNUMBER(SEARCH('Category Rules'!$B$6:$B$125,$C773)))*('Category Rules'!$B$6:$B$125&lt;&gt;"")),'Category Rules'!$C$6:$C$125),"Uncategorized"))</f>
        <v/>
      </c>
      <c r="F773" s="108" t="n"/>
      <c r="G773" s="103">
        <f>IF($C773="","",IF($F773&lt;&gt;"",$F773,$E773))</f>
        <v/>
      </c>
      <c r="H773" s="85">
        <f>IF($B773="","",TEXT($B773,"mmm yyyy"))</f>
        <v/>
      </c>
    </row>
    <row r="774" ht="18" customHeight="1">
      <c r="A774" s="10" t="n"/>
      <c r="B774" s="98" t="inlineStr">
        <is>
          <t>2026-05-23</t>
        </is>
      </c>
      <c r="C774" s="99" t="inlineStr">
        <is>
          <t>BREEDS FOOD MAR</t>
        </is>
      </c>
      <c r="D774" s="100" t="n">
        <v>11.42</v>
      </c>
      <c r="E774" s="104">
        <f>IF($C774="","",IFERROR(LOOKUP(2,1/((ISNUMBER(SEARCH('Category Rules'!$B$6:$B$125,$C774)))*('Category Rules'!$B$6:$B$125&lt;&gt;"")),'Category Rules'!$C$6:$C$125),"Uncategorized"))</f>
        <v/>
      </c>
      <c r="F774" s="108" t="n"/>
      <c r="G774" s="106">
        <f>IF($C774="","",IF($F774&lt;&gt;"",$F774,$E774))</f>
        <v/>
      </c>
      <c r="H774" s="82">
        <f>IF($B774="","",TEXT($B774,"mmm yyyy"))</f>
        <v/>
      </c>
    </row>
    <row r="775" ht="18" customHeight="1">
      <c r="A775" s="14" t="n"/>
      <c r="B775" s="98" t="inlineStr">
        <is>
          <t>2026-05-24</t>
        </is>
      </c>
      <c r="C775" s="99" t="inlineStr">
        <is>
          <t>PIC'N SAVE #248</t>
        </is>
      </c>
      <c r="D775" s="100" t="n">
        <v>8.710000000000001</v>
      </c>
      <c r="E775" s="101">
        <f>IF($C775="","",IFERROR(LOOKUP(2,1/((ISNUMBER(SEARCH('Category Rules'!$B$6:$B$125,$C775)))*('Category Rules'!$B$6:$B$125&lt;&gt;"")),'Category Rules'!$C$6:$C$125),"Uncategorized"))</f>
        <v/>
      </c>
      <c r="F775" s="108" t="n"/>
      <c r="G775" s="103">
        <f>IF($C775="","",IF($F775&lt;&gt;"",$F775,$E775))</f>
        <v/>
      </c>
      <c r="H775" s="85">
        <f>IF($B775="","",TEXT($B775,"mmm yyyy"))</f>
        <v/>
      </c>
    </row>
    <row r="776" ht="18" customHeight="1">
      <c r="A776" s="10" t="n"/>
      <c r="B776" s="98" t="inlineStr">
        <is>
          <t>2026-05-24</t>
        </is>
      </c>
      <c r="C776" s="99" t="inlineStr">
        <is>
          <t>PIC'N SAVE #248</t>
        </is>
      </c>
      <c r="D776" s="100" t="n">
        <v>2.46</v>
      </c>
      <c r="E776" s="104">
        <f>IF($C776="","",IFERROR(LOOKUP(2,1/((ISNUMBER(SEARCH('Category Rules'!$B$6:$B$125,$C776)))*('Category Rules'!$B$6:$B$125&lt;&gt;"")),'Category Rules'!$C$6:$C$125),"Uncategorized"))</f>
        <v/>
      </c>
      <c r="F776" s="108" t="n"/>
      <c r="G776" s="106">
        <f>IF($C776="","",IF($F776&lt;&gt;"",$F776,$E776))</f>
        <v/>
      </c>
      <c r="H776" s="82">
        <f>IF($B776="","",TEXT($B776,"mmm yyyy"))</f>
        <v/>
      </c>
    </row>
    <row r="777" ht="18" customHeight="1">
      <c r="A777" s="14" t="n"/>
      <c r="B777" s="98" t="inlineStr">
        <is>
          <t>2026-05-24</t>
        </is>
      </c>
      <c r="C777" s="99" t="inlineStr">
        <is>
          <t>CHICK-FIL-A #04457</t>
        </is>
      </c>
      <c r="D777" s="100" t="n">
        <v>12.49</v>
      </c>
      <c r="E777" s="101">
        <f>IF($C777="","",IFERROR(LOOKUP(2,1/((ISNUMBER(SEARCH('Category Rules'!$B$6:$B$125,$C777)))*('Category Rules'!$B$6:$B$125&lt;&gt;"")),'Category Rules'!$C$6:$C$125),"Uncategorized"))</f>
        <v/>
      </c>
      <c r="F777" s="108" t="n"/>
      <c r="G777" s="103">
        <f>IF($C777="","",IF($F777&lt;&gt;"",$F777,$E777))</f>
        <v/>
      </c>
      <c r="H777" s="85">
        <f>IF($B777="","",TEXT($B777,"mmm yyyy"))</f>
        <v/>
      </c>
    </row>
    <row r="778" ht="18" customHeight="1">
      <c r="A778" s="10" t="n"/>
      <c r="B778" s="98" t="inlineStr">
        <is>
          <t>2026-05-24</t>
        </is>
      </c>
      <c r="C778" s="99" t="inlineStr">
        <is>
          <t>WHATABURGER 1492</t>
        </is>
      </c>
      <c r="D778" s="100" t="n">
        <v>16.49</v>
      </c>
      <c r="E778" s="104">
        <f>IF($C778="","",IFERROR(LOOKUP(2,1/((ISNUMBER(SEARCH('Category Rules'!$B$6:$B$125,$C778)))*('Category Rules'!$B$6:$B$125&lt;&gt;"")),'Category Rules'!$C$6:$C$125),"Uncategorized"))</f>
        <v/>
      </c>
      <c r="F778" s="108" t="n"/>
      <c r="G778" s="106">
        <f>IF($C778="","",IF($F778&lt;&gt;"",$F778,$E778))</f>
        <v/>
      </c>
      <c r="H778" s="82">
        <f>IF($B778="","",TEXT($B778,"mmm yyyy"))</f>
        <v/>
      </c>
    </row>
    <row r="779" ht="18" customHeight="1">
      <c r="A779" s="14" t="n"/>
      <c r="B779" s="98" t="inlineStr">
        <is>
          <t>2026-05-24</t>
        </is>
      </c>
      <c r="C779" s="99" t="inlineStr">
        <is>
          <t>WHATABURGER 1492</t>
        </is>
      </c>
      <c r="D779" s="100" t="n">
        <v>16.49</v>
      </c>
      <c r="E779" s="101">
        <f>IF($C779="","",IFERROR(LOOKUP(2,1/((ISNUMBER(SEARCH('Category Rules'!$B$6:$B$125,$C779)))*('Category Rules'!$B$6:$B$125&lt;&gt;"")),'Category Rules'!$C$6:$C$125),"Uncategorized"))</f>
        <v/>
      </c>
      <c r="F779" s="108" t="n"/>
      <c r="G779" s="103">
        <f>IF($C779="","",IF($F779&lt;&gt;"",$F779,$E779))</f>
        <v/>
      </c>
      <c r="H779" s="85">
        <f>IF($B779="","",TEXT($B779,"mmm yyyy"))</f>
        <v/>
      </c>
    </row>
    <row r="780" ht="18" customHeight="1">
      <c r="A780" s="10" t="n"/>
      <c r="B780" s="98" t="inlineStr">
        <is>
          <t>2026-05-24</t>
        </is>
      </c>
      <c r="C780" s="99" t="inlineStr">
        <is>
          <t>SQ *JASMYNE TURNER</t>
        </is>
      </c>
      <c r="D780" s="100" t="n">
        <v>35</v>
      </c>
      <c r="E780" s="104">
        <f>IF($C780="","",IFERROR(LOOKUP(2,1/((ISNUMBER(SEARCH('Category Rules'!$B$6:$B$125,$C780)))*('Category Rules'!$B$6:$B$125&lt;&gt;"")),'Category Rules'!$C$6:$C$125),"Uncategorized"))</f>
        <v/>
      </c>
      <c r="F780" s="108" t="n"/>
      <c r="G780" s="106">
        <f>IF($C780="","",IF($F780&lt;&gt;"",$F780,$E780))</f>
        <v/>
      </c>
      <c r="H780" s="82">
        <f>IF($B780="","",TEXT($B780,"mmm yyyy"))</f>
        <v/>
      </c>
    </row>
    <row r="781" ht="18" customHeight="1">
      <c r="A781" s="14" t="n"/>
      <c r="B781" s="98" t="inlineStr">
        <is>
          <t>2026-05-25</t>
        </is>
      </c>
      <c r="C781" s="99" t="inlineStr">
        <is>
          <t>DORSEY'S SUPERM</t>
        </is>
      </c>
      <c r="D781" s="100" t="n">
        <v>1.86</v>
      </c>
      <c r="E781" s="101">
        <f>IF($C781="","",IFERROR(LOOKUP(2,1/((ISNUMBER(SEARCH('Category Rules'!$B$6:$B$125,$C781)))*('Category Rules'!$B$6:$B$125&lt;&gt;"")),'Category Rules'!$C$6:$C$125),"Uncategorized"))</f>
        <v/>
      </c>
      <c r="F781" s="108" t="n"/>
      <c r="G781" s="103">
        <f>IF($C781="","",IF($F781&lt;&gt;"",$F781,$E781))</f>
        <v/>
      </c>
      <c r="H781" s="85">
        <f>IF($B781="","",TEXT($B781,"mmm yyyy"))</f>
        <v/>
      </c>
    </row>
    <row r="782" ht="18" customHeight="1">
      <c r="A782" s="10" t="n"/>
      <c r="B782" s="98" t="inlineStr">
        <is>
          <t>2026-05-25</t>
        </is>
      </c>
      <c r="C782" s="99" t="inlineStr">
        <is>
          <t>SITE358559 - TE</t>
        </is>
      </c>
      <c r="D782" s="100" t="n">
        <v>5.39</v>
      </c>
      <c r="E782" s="104">
        <f>IF($C782="","",IFERROR(LOOKUP(2,1/((ISNUMBER(SEARCH('Category Rules'!$B$6:$B$125,$C782)))*('Category Rules'!$B$6:$B$125&lt;&gt;"")),'Category Rules'!$C$6:$C$125),"Uncategorized"))</f>
        <v/>
      </c>
      <c r="F782" s="108" t="n"/>
      <c r="G782" s="106">
        <f>IF($C782="","",IF($F782&lt;&gt;"",$F782,$E782))</f>
        <v/>
      </c>
      <c r="H782" s="82">
        <f>IF($B782="","",TEXT($B782,"mmm yyyy"))</f>
        <v/>
      </c>
    </row>
    <row r="783" ht="18" customHeight="1">
      <c r="A783" s="14" t="n"/>
      <c r="B783" s="98" t="inlineStr">
        <is>
          <t>2026-05-25</t>
        </is>
      </c>
      <c r="C783" s="99" t="inlineStr">
        <is>
          <t>PIC'N SAVE #248</t>
        </is>
      </c>
      <c r="D783" s="100" t="n">
        <v>3.76</v>
      </c>
      <c r="E783" s="101">
        <f>IF($C783="","",IFERROR(LOOKUP(2,1/((ISNUMBER(SEARCH('Category Rules'!$B$6:$B$125,$C783)))*('Category Rules'!$B$6:$B$125&lt;&gt;"")),'Category Rules'!$C$6:$C$125),"Uncategorized"))</f>
        <v/>
      </c>
      <c r="F783" s="108" t="n"/>
      <c r="G783" s="103">
        <f>IF($C783="","",IF($F783&lt;&gt;"",$F783,$E783))</f>
        <v/>
      </c>
      <c r="H783" s="85">
        <f>IF($B783="","",TEXT($B783,"mmm yyyy"))</f>
        <v/>
      </c>
    </row>
    <row r="784" ht="18" customHeight="1">
      <c r="A784" s="10" t="n"/>
      <c r="B784" s="98" t="inlineStr">
        <is>
          <t>2026-05-25</t>
        </is>
      </c>
      <c r="C784" s="99" t="inlineStr">
        <is>
          <t>JACK'S #200</t>
        </is>
      </c>
      <c r="D784" s="100" t="n">
        <v>9.119999999999999</v>
      </c>
      <c r="E784" s="104">
        <f>IF($C784="","",IFERROR(LOOKUP(2,1/((ISNUMBER(SEARCH('Category Rules'!$B$6:$B$125,$C784)))*('Category Rules'!$B$6:$B$125&lt;&gt;"")),'Category Rules'!$C$6:$C$125),"Uncategorized"))</f>
        <v/>
      </c>
      <c r="F784" s="108" t="n"/>
      <c r="G784" s="106">
        <f>IF($C784="","",IF($F784&lt;&gt;"",$F784,$E784))</f>
        <v/>
      </c>
      <c r="H784" s="82">
        <f>IF($B784="","",TEXT($B784,"mmm yyyy"))</f>
        <v/>
      </c>
    </row>
    <row r="785" ht="18" customHeight="1">
      <c r="A785" s="14" t="n"/>
      <c r="B785" s="98" t="inlineStr">
        <is>
          <t>2026-05-25</t>
        </is>
      </c>
      <c r="C785" s="99" t="inlineStr">
        <is>
          <t>JACK'S #200</t>
        </is>
      </c>
      <c r="D785" s="100" t="n">
        <v>9.33</v>
      </c>
      <c r="E785" s="101">
        <f>IF($C785="","",IFERROR(LOOKUP(2,1/((ISNUMBER(SEARCH('Category Rules'!$B$6:$B$125,$C785)))*('Category Rules'!$B$6:$B$125&lt;&gt;"")),'Category Rules'!$C$6:$C$125),"Uncategorized"))</f>
        <v/>
      </c>
      <c r="F785" s="108" t="n"/>
      <c r="G785" s="103">
        <f>IF($C785="","",IF($F785&lt;&gt;"",$F785,$E785))</f>
        <v/>
      </c>
      <c r="H785" s="85">
        <f>IF($B785="","",TEXT($B785,"mmm yyyy"))</f>
        <v/>
      </c>
    </row>
    <row r="786" ht="18" customHeight="1">
      <c r="A786" s="10" t="n"/>
      <c r="B786" s="98" t="inlineStr">
        <is>
          <t>2026-05-25</t>
        </is>
      </c>
      <c r="C786" s="99" t="inlineStr">
        <is>
          <t>PIC'N SAVE #248</t>
        </is>
      </c>
      <c r="D786" s="100" t="n">
        <v>2.46</v>
      </c>
      <c r="E786" s="104">
        <f>IF($C786="","",IFERROR(LOOKUP(2,1/((ISNUMBER(SEARCH('Category Rules'!$B$6:$B$125,$C786)))*('Category Rules'!$B$6:$B$125&lt;&gt;"")),'Category Rules'!$C$6:$C$125),"Uncategorized"))</f>
        <v/>
      </c>
      <c r="F786" s="108" t="n"/>
      <c r="G786" s="106">
        <f>IF($C786="","",IF($F786&lt;&gt;"",$F786,$E786))</f>
        <v/>
      </c>
      <c r="H786" s="82">
        <f>IF($B786="","",TEXT($B786,"mmm yyyy"))</f>
        <v/>
      </c>
    </row>
    <row r="787" ht="18" customHeight="1">
      <c r="A787" s="14" t="n"/>
      <c r="B787" s="98" t="inlineStr">
        <is>
          <t>2026-05-26</t>
        </is>
      </c>
      <c r="C787" s="99" t="inlineStr">
        <is>
          <t>DOLLAR GENERAL # DG 304</t>
        </is>
      </c>
      <c r="D787" s="100" t="n">
        <v>11.99</v>
      </c>
      <c r="E787" s="101">
        <f>IF($C787="","",IFERROR(LOOKUP(2,1/((ISNUMBER(SEARCH('Category Rules'!$B$6:$B$125,$C787)))*('Category Rules'!$B$6:$B$125&lt;&gt;"")),'Category Rules'!$C$6:$C$125),"Uncategorized"))</f>
        <v/>
      </c>
      <c r="F787" s="108" t="n"/>
      <c r="G787" s="103">
        <f>IF($C787="","",IF($F787&lt;&gt;"",$F787,$E787))</f>
        <v/>
      </c>
      <c r="H787" s="85">
        <f>IF($B787="","",TEXT($B787,"mmm yyyy"))</f>
        <v/>
      </c>
    </row>
    <row r="788" ht="18" customHeight="1">
      <c r="A788" s="10" t="n"/>
      <c r="B788" s="98" t="inlineStr">
        <is>
          <t>2026-05-26</t>
        </is>
      </c>
      <c r="C788" s="99" t="inlineStr">
        <is>
          <t>PIC'N SAVE #248</t>
        </is>
      </c>
      <c r="D788" s="100" t="n">
        <v>3.94</v>
      </c>
      <c r="E788" s="104">
        <f>IF($C788="","",IFERROR(LOOKUP(2,1/((ISNUMBER(SEARCH('Category Rules'!$B$6:$B$125,$C788)))*('Category Rules'!$B$6:$B$125&lt;&gt;"")),'Category Rules'!$C$6:$C$125),"Uncategorized"))</f>
        <v/>
      </c>
      <c r="F788" s="108" t="n"/>
      <c r="G788" s="106">
        <f>IF($C788="","",IF($F788&lt;&gt;"",$F788,$E788))</f>
        <v/>
      </c>
      <c r="H788" s="82">
        <f>IF($B788="","",TEXT($B788,"mmm yyyy"))</f>
        <v/>
      </c>
    </row>
    <row r="789" ht="18" customHeight="1">
      <c r="A789" s="14" t="n"/>
      <c r="B789" s="98" t="inlineStr">
        <is>
          <t>2026-05-26</t>
        </is>
      </c>
      <c r="C789" s="99" t="inlineStr">
        <is>
          <t>PIC'N SAVE #248</t>
        </is>
      </c>
      <c r="D789" s="100" t="n">
        <v>2.25</v>
      </c>
      <c r="E789" s="101">
        <f>IF($C789="","",IFERROR(LOOKUP(2,1/((ISNUMBER(SEARCH('Category Rules'!$B$6:$B$125,$C789)))*('Category Rules'!$B$6:$B$125&lt;&gt;"")),'Category Rules'!$C$6:$C$125),"Uncategorized"))</f>
        <v/>
      </c>
      <c r="F789" s="108" t="n"/>
      <c r="G789" s="103">
        <f>IF($C789="","",IF($F789&lt;&gt;"",$F789,$E789))</f>
        <v/>
      </c>
      <c r="H789" s="85">
        <f>IF($B789="","",TEXT($B789,"mmm yyyy"))</f>
        <v/>
      </c>
    </row>
    <row r="790" ht="18" customHeight="1">
      <c r="A790" s="10" t="n"/>
      <c r="B790" s="98" t="inlineStr">
        <is>
          <t>2026-05-26</t>
        </is>
      </c>
      <c r="C790" s="99" t="inlineStr">
        <is>
          <t>PIC'N SAVE #248</t>
        </is>
      </c>
      <c r="D790" s="100" t="n">
        <v>4.4</v>
      </c>
      <c r="E790" s="104">
        <f>IF($C790="","",IFERROR(LOOKUP(2,1/((ISNUMBER(SEARCH('Category Rules'!$B$6:$B$125,$C790)))*('Category Rules'!$B$6:$B$125&lt;&gt;"")),'Category Rules'!$C$6:$C$125),"Uncategorized"))</f>
        <v/>
      </c>
      <c r="F790" s="108" t="n"/>
      <c r="G790" s="106">
        <f>IF($C790="","",IF($F790&lt;&gt;"",$F790,$E790))</f>
        <v/>
      </c>
      <c r="H790" s="82">
        <f>IF($B790="","",TEXT($B790,"mmm yyyy"))</f>
        <v/>
      </c>
    </row>
    <row r="791" ht="18" customHeight="1">
      <c r="A791" s="14" t="n"/>
      <c r="B791" s="98" t="inlineStr">
        <is>
          <t>2026-05-26</t>
        </is>
      </c>
      <c r="C791" s="99" t="inlineStr">
        <is>
          <t>SITE358559 - TE</t>
        </is>
      </c>
      <c r="D791" s="100" t="n">
        <v>5.39</v>
      </c>
      <c r="E791" s="101">
        <f>IF($C791="","",IFERROR(LOOKUP(2,1/((ISNUMBER(SEARCH('Category Rules'!$B$6:$B$125,$C791)))*('Category Rules'!$B$6:$B$125&lt;&gt;"")),'Category Rules'!$C$6:$C$125),"Uncategorized"))</f>
        <v/>
      </c>
      <c r="F791" s="108" t="n"/>
      <c r="G791" s="103">
        <f>IF($C791="","",IF($F791&lt;&gt;"",$F791,$E791))</f>
        <v/>
      </c>
      <c r="H791" s="85">
        <f>IF($B791="","",TEXT($B791,"mmm yyyy"))</f>
        <v/>
      </c>
    </row>
    <row r="792" ht="18" customHeight="1">
      <c r="A792" s="10" t="n"/>
      <c r="B792" s="98" t="inlineStr">
        <is>
          <t>2026-05-26</t>
        </is>
      </c>
      <c r="C792" s="99" t="inlineStr">
        <is>
          <t>TEXACO 0358559</t>
        </is>
      </c>
      <c r="D792" s="100" t="n">
        <v>20.02</v>
      </c>
      <c r="E792" s="104">
        <f>IF($C792="","",IFERROR(LOOKUP(2,1/((ISNUMBER(SEARCH('Category Rules'!$B$6:$B$125,$C792)))*('Category Rules'!$B$6:$B$125&lt;&gt;"")),'Category Rules'!$C$6:$C$125),"Uncategorized"))</f>
        <v/>
      </c>
      <c r="F792" s="108" t="n"/>
      <c r="G792" s="106">
        <f>IF($C792="","",IF($F792&lt;&gt;"",$F792,$E792))</f>
        <v/>
      </c>
      <c r="H792" s="82">
        <f>IF($B792="","",TEXT($B792,"mmm yyyy"))</f>
        <v/>
      </c>
    </row>
    <row r="793" ht="18" customHeight="1">
      <c r="A793" s="14" t="n"/>
      <c r="B793" s="98" t="inlineStr">
        <is>
          <t>2026-05-26</t>
        </is>
      </c>
      <c r="C793" s="99" t="inlineStr">
        <is>
          <t>JACK'S #203</t>
        </is>
      </c>
      <c r="D793" s="100" t="n">
        <v>10.02</v>
      </c>
      <c r="E793" s="101">
        <f>IF($C793="","",IFERROR(LOOKUP(2,1/((ISNUMBER(SEARCH('Category Rules'!$B$6:$B$125,$C793)))*('Category Rules'!$B$6:$B$125&lt;&gt;"")),'Category Rules'!$C$6:$C$125),"Uncategorized"))</f>
        <v/>
      </c>
      <c r="F793" s="108" t="n"/>
      <c r="G793" s="103">
        <f>IF($C793="","",IF($F793&lt;&gt;"",$F793,$E793))</f>
        <v/>
      </c>
      <c r="H793" s="85">
        <f>IF($B793="","",TEXT($B793,"mmm yyyy"))</f>
        <v/>
      </c>
    </row>
    <row r="794" ht="18" customHeight="1">
      <c r="A794" s="10" t="n"/>
      <c r="B794" s="98" t="inlineStr">
        <is>
          <t>2026-05-26</t>
        </is>
      </c>
      <c r="C794" s="99" t="inlineStr">
        <is>
          <t>Bojangles 0914</t>
        </is>
      </c>
      <c r="D794" s="100" t="n">
        <v>8.130000000000001</v>
      </c>
      <c r="E794" s="104">
        <f>IF($C794="","",IFERROR(LOOKUP(2,1/((ISNUMBER(SEARCH('Category Rules'!$B$6:$B$125,$C794)))*('Category Rules'!$B$6:$B$125&lt;&gt;"")),'Category Rules'!$C$6:$C$125),"Uncategorized"))</f>
        <v/>
      </c>
      <c r="F794" s="108" t="n"/>
      <c r="G794" s="106">
        <f>IF($C794="","",IF($F794&lt;&gt;"",$F794,$E794))</f>
        <v/>
      </c>
      <c r="H794" s="82">
        <f>IF($B794="","",TEXT($B794,"mmm yyyy"))</f>
        <v/>
      </c>
    </row>
    <row r="795" ht="18" customHeight="1">
      <c r="A795" s="14" t="n"/>
      <c r="B795" s="98" t="inlineStr">
        <is>
          <t>2026-05-26</t>
        </is>
      </c>
      <c r="C795" s="99" t="inlineStr">
        <is>
          <t>MCDONALD'S F6920</t>
        </is>
      </c>
      <c r="D795" s="100" t="n">
        <v>8.23</v>
      </c>
      <c r="E795" s="101">
        <f>IF($C795="","",IFERROR(LOOKUP(2,1/((ISNUMBER(SEARCH('Category Rules'!$B$6:$B$125,$C795)))*('Category Rules'!$B$6:$B$125&lt;&gt;"")),'Category Rules'!$C$6:$C$125),"Uncategorized"))</f>
        <v/>
      </c>
      <c r="F795" s="108" t="n"/>
      <c r="G795" s="103">
        <f>IF($C795="","",IF($F795&lt;&gt;"",$F795,$E795))</f>
        <v/>
      </c>
      <c r="H795" s="85">
        <f>IF($B795="","",TEXT($B795,"mmm yyyy"))</f>
        <v/>
      </c>
    </row>
    <row r="796" ht="18" customHeight="1">
      <c r="A796" s="10" t="n"/>
      <c r="B796" s="98" t="inlineStr">
        <is>
          <t>2026-05-26</t>
        </is>
      </c>
      <c r="C796" s="99" t="inlineStr">
        <is>
          <t>APPLE.COM/BILL</t>
        </is>
      </c>
      <c r="D796" s="100" t="n">
        <v>0.99</v>
      </c>
      <c r="E796" s="104">
        <f>IF($C796="","",IFERROR(LOOKUP(2,1/((ISNUMBER(SEARCH('Category Rules'!$B$6:$B$125,$C796)))*('Category Rules'!$B$6:$B$125&lt;&gt;"")),'Category Rules'!$C$6:$C$125),"Uncategorized"))</f>
        <v/>
      </c>
      <c r="F796" s="108" t="n"/>
      <c r="G796" s="106">
        <f>IF($C796="","",IF($F796&lt;&gt;"",$F796,$E796))</f>
        <v/>
      </c>
      <c r="H796" s="82">
        <f>IF($B796="","",TEXT($B796,"mmm yyyy"))</f>
        <v/>
      </c>
    </row>
    <row r="797" ht="18" customHeight="1">
      <c r="A797" s="14" t="n"/>
      <c r="B797" s="98" t="inlineStr">
        <is>
          <t>2026-05-26</t>
        </is>
      </c>
      <c r="C797" s="99" t="inlineStr">
        <is>
          <t>PIC'N SAVE #248</t>
        </is>
      </c>
      <c r="D797" s="100" t="n">
        <v>2.46</v>
      </c>
      <c r="E797" s="101">
        <f>IF($C797="","",IFERROR(LOOKUP(2,1/((ISNUMBER(SEARCH('Category Rules'!$B$6:$B$125,$C797)))*('Category Rules'!$B$6:$B$125&lt;&gt;"")),'Category Rules'!$C$6:$C$125),"Uncategorized"))</f>
        <v/>
      </c>
      <c r="F797" s="108" t="n"/>
      <c r="G797" s="103">
        <f>IF($C797="","",IF($F797&lt;&gt;"",$F797,$E797))</f>
        <v/>
      </c>
      <c r="H797" s="85">
        <f>IF($B797="","",TEXT($B797,"mmm yyyy"))</f>
        <v/>
      </c>
    </row>
    <row r="798" ht="18" customHeight="1">
      <c r="A798" s="10" t="n"/>
      <c r="B798" s="98" t="inlineStr">
        <is>
          <t>2026-05-27</t>
        </is>
      </c>
      <c r="C798" s="99" t="inlineStr">
        <is>
          <t>TACO BELL #7029147</t>
        </is>
      </c>
      <c r="D798" s="100" t="n">
        <v>8.529999999999999</v>
      </c>
      <c r="E798" s="104">
        <f>IF($C798="","",IFERROR(LOOKUP(2,1/((ISNUMBER(SEARCH('Category Rules'!$B$6:$B$125,$C798)))*('Category Rules'!$B$6:$B$125&lt;&gt;"")),'Category Rules'!$C$6:$C$125),"Uncategorized"))</f>
        <v/>
      </c>
      <c r="F798" s="108" t="n"/>
      <c r="G798" s="106">
        <f>IF($C798="","",IF($F798&lt;&gt;"",$F798,$E798))</f>
        <v/>
      </c>
      <c r="H798" s="82">
        <f>IF($B798="","",TEXT($B798,"mmm yyyy"))</f>
        <v/>
      </c>
    </row>
    <row r="799" ht="18" customHeight="1">
      <c r="A799" s="14" t="n"/>
      <c r="B799" s="98" t="inlineStr">
        <is>
          <t>2026-05-27</t>
        </is>
      </c>
      <c r="C799" s="99" t="inlineStr">
        <is>
          <t>Bojangles 0914</t>
        </is>
      </c>
      <c r="D799" s="100" t="n">
        <v>12.52</v>
      </c>
      <c r="E799" s="101">
        <f>IF($C799="","",IFERROR(LOOKUP(2,1/((ISNUMBER(SEARCH('Category Rules'!$B$6:$B$125,$C799)))*('Category Rules'!$B$6:$B$125&lt;&gt;"")),'Category Rules'!$C$6:$C$125),"Uncategorized"))</f>
        <v/>
      </c>
      <c r="F799" s="108" t="n"/>
      <c r="G799" s="103">
        <f>IF($C799="","",IF($F799&lt;&gt;"",$F799,$E799))</f>
        <v/>
      </c>
      <c r="H799" s="85">
        <f>IF($B799="","",TEXT($B799,"mmm yyyy"))</f>
        <v/>
      </c>
    </row>
    <row r="800" ht="18" customHeight="1">
      <c r="A800" s="10" t="n"/>
      <c r="B800" s="98" t="inlineStr">
        <is>
          <t>2026-05-27</t>
        </is>
      </c>
      <c r="C800" s="99" t="inlineStr">
        <is>
          <t>DECKS AND DOCKS</t>
        </is>
      </c>
      <c r="D800" s="100" t="n">
        <v>37.54</v>
      </c>
      <c r="E800" s="104">
        <f>IF($C800="","",IFERROR(LOOKUP(2,1/((ISNUMBER(SEARCH('Category Rules'!$B$6:$B$125,$C800)))*('Category Rules'!$B$6:$B$125&lt;&gt;"")),'Category Rules'!$C$6:$C$125),"Uncategorized"))</f>
        <v/>
      </c>
      <c r="F800" s="108" t="n"/>
      <c r="G800" s="106">
        <f>IF($C800="","",IF($F800&lt;&gt;"",$F800,$E800))</f>
        <v/>
      </c>
      <c r="H800" s="82">
        <f>IF($B800="","",TEXT($B800,"mmm yyyy"))</f>
        <v/>
      </c>
    </row>
    <row r="801" ht="18" customHeight="1">
      <c r="A801" s="14" t="n"/>
      <c r="B801" s="98" t="inlineStr">
        <is>
          <t>2026-05-28</t>
        </is>
      </c>
      <c r="C801" s="99" t="inlineStr">
        <is>
          <t>SITE358572 - CH</t>
        </is>
      </c>
      <c r="D801" s="100" t="n">
        <v>11.53</v>
      </c>
      <c r="E801" s="101">
        <f>IF($C801="","",IFERROR(LOOKUP(2,1/((ISNUMBER(SEARCH('Category Rules'!$B$6:$B$125,$C801)))*('Category Rules'!$B$6:$B$125&lt;&gt;"")),'Category Rules'!$C$6:$C$125),"Uncategorized"))</f>
        <v/>
      </c>
      <c r="F801" s="108" t="n"/>
      <c r="G801" s="103">
        <f>IF($C801="","",IF($F801&lt;&gt;"",$F801,$E801))</f>
        <v/>
      </c>
      <c r="H801" s="85">
        <f>IF($B801="","",TEXT($B801,"mmm yyyy"))</f>
        <v/>
      </c>
    </row>
    <row r="802" ht="18" customHeight="1">
      <c r="A802" s="10" t="n"/>
      <c r="B802" s="98" t="inlineStr">
        <is>
          <t>2026-05-28</t>
        </is>
      </c>
      <c r="C802" s="99" t="inlineStr">
        <is>
          <t>MAPCO 5108 706 PELHAM R</t>
        </is>
      </c>
      <c r="D802" s="100" t="n">
        <v>85.23999999999999</v>
      </c>
      <c r="E802" s="104">
        <f>IF($C802="","",IFERROR(LOOKUP(2,1/((ISNUMBER(SEARCH('Category Rules'!$B$6:$B$125,$C802)))*('Category Rules'!$B$6:$B$125&lt;&gt;"")),'Category Rules'!$C$6:$C$125),"Uncategorized"))</f>
        <v/>
      </c>
      <c r="F802" s="108" t="n"/>
      <c r="G802" s="106">
        <f>IF($C802="","",IF($F802&lt;&gt;"",$F802,$E802))</f>
        <v/>
      </c>
      <c r="H802" s="82">
        <f>IF($B802="","",TEXT($B802,"mmm yyyy"))</f>
        <v/>
      </c>
    </row>
    <row r="803" ht="18" customHeight="1">
      <c r="A803" s="14" t="n"/>
      <c r="B803" s="98" t="inlineStr">
        <is>
          <t>2026-05-28</t>
        </is>
      </c>
      <c r="C803" s="99" t="inlineStr">
        <is>
          <t>MCDONALD'S F3636</t>
        </is>
      </c>
      <c r="D803" s="100" t="n">
        <v>7.57</v>
      </c>
      <c r="E803" s="101">
        <f>IF($C803="","",IFERROR(LOOKUP(2,1/((ISNUMBER(SEARCH('Category Rules'!$B$6:$B$125,$C803)))*('Category Rules'!$B$6:$B$125&lt;&gt;"")),'Category Rules'!$C$6:$C$125),"Uncategorized"))</f>
        <v/>
      </c>
      <c r="F803" s="108" t="n"/>
      <c r="G803" s="103">
        <f>IF($C803="","",IF($F803&lt;&gt;"",$F803,$E803))</f>
        <v/>
      </c>
      <c r="H803" s="85">
        <f>IF($B803="","",TEXT($B803,"mmm yyyy"))</f>
        <v/>
      </c>
    </row>
    <row r="804" ht="18" customHeight="1">
      <c r="A804" s="10" t="n"/>
      <c r="B804" s="98" t="inlineStr">
        <is>
          <t>2026-05-28</t>
        </is>
      </c>
      <c r="C804" s="99" t="inlineStr">
        <is>
          <t>TACO BELL #7029147</t>
        </is>
      </c>
      <c r="D804" s="100" t="n">
        <v>8.25</v>
      </c>
      <c r="E804" s="104">
        <f>IF($C804="","",IFERROR(LOOKUP(2,1/((ISNUMBER(SEARCH('Category Rules'!$B$6:$B$125,$C804)))*('Category Rules'!$B$6:$B$125&lt;&gt;"")),'Category Rules'!$C$6:$C$125),"Uncategorized"))</f>
        <v/>
      </c>
      <c r="F804" s="108" t="n"/>
      <c r="G804" s="106">
        <f>IF($C804="","",IF($F804&lt;&gt;"",$F804,$E804))</f>
        <v/>
      </c>
      <c r="H804" s="82">
        <f>IF($B804="","",TEXT($B804,"mmm yyyy"))</f>
        <v/>
      </c>
    </row>
    <row r="805" ht="18" customHeight="1">
      <c r="A805" s="14" t="n"/>
      <c r="B805" s="98" t="inlineStr">
        <is>
          <t>2026-05-28</t>
        </is>
      </c>
      <c r="C805" s="99" t="inlineStr">
        <is>
          <t>Bojangles 0914</t>
        </is>
      </c>
      <c r="D805" s="100" t="n">
        <v>8.130000000000001</v>
      </c>
      <c r="E805" s="101">
        <f>IF($C805="","",IFERROR(LOOKUP(2,1/((ISNUMBER(SEARCH('Category Rules'!$B$6:$B$125,$C805)))*('Category Rules'!$B$6:$B$125&lt;&gt;"")),'Category Rules'!$C$6:$C$125),"Uncategorized"))</f>
        <v/>
      </c>
      <c r="F805" s="108" t="n"/>
      <c r="G805" s="103">
        <f>IF($C805="","",IF($F805&lt;&gt;"",$F805,$E805))</f>
        <v/>
      </c>
      <c r="H805" s="85">
        <f>IF($B805="","",TEXT($B805,"mmm yyyy"))</f>
        <v/>
      </c>
    </row>
    <row r="806" ht="18" customHeight="1">
      <c r="A806" s="10" t="n"/>
      <c r="B806" s="98" t="inlineStr">
        <is>
          <t>2026-05-29</t>
        </is>
      </c>
      <c r="C806" s="99" t="inlineStr">
        <is>
          <t>SHELL SERVICE STATION</t>
        </is>
      </c>
      <c r="D806" s="100" t="n">
        <v>20.07</v>
      </c>
      <c r="E806" s="104">
        <f>IF($C806="","",IFERROR(LOOKUP(2,1/((ISNUMBER(SEARCH('Category Rules'!$B$6:$B$125,$C806)))*('Category Rules'!$B$6:$B$125&lt;&gt;"")),'Category Rules'!$C$6:$C$125),"Uncategorized"))</f>
        <v/>
      </c>
      <c r="F806" s="108" t="n"/>
      <c r="G806" s="106">
        <f>IF($C806="","",IF($F806&lt;&gt;"",$F806,$E806))</f>
        <v/>
      </c>
      <c r="H806" s="82">
        <f>IF($B806="","",TEXT($B806,"mmm yyyy"))</f>
        <v/>
      </c>
    </row>
    <row r="807" ht="18" customHeight="1">
      <c r="A807" s="14" t="n"/>
      <c r="B807" s="98" t="inlineStr">
        <is>
          <t>2026-05-29</t>
        </is>
      </c>
      <c r="C807" s="99" t="inlineStr">
        <is>
          <t>MARATHON 203109</t>
        </is>
      </c>
      <c r="D807" s="100" t="n">
        <v>9.960000000000001</v>
      </c>
      <c r="E807" s="101">
        <f>IF($C807="","",IFERROR(LOOKUP(2,1/((ISNUMBER(SEARCH('Category Rules'!$B$6:$B$125,$C807)))*('Category Rules'!$B$6:$B$125&lt;&gt;"")),'Category Rules'!$C$6:$C$125),"Uncategorized"))</f>
        <v/>
      </c>
      <c r="F807" s="108" t="n"/>
      <c r="G807" s="103">
        <f>IF($C807="","",IF($F807&lt;&gt;"",$F807,$E807))</f>
        <v/>
      </c>
      <c r="H807" s="85">
        <f>IF($B807="","",TEXT($B807,"mmm yyyy"))</f>
        <v/>
      </c>
    </row>
    <row r="808" ht="18" customHeight="1">
      <c r="A808" s="10" t="n"/>
      <c r="B808" s="98" t="inlineStr">
        <is>
          <t>2026-05-29</t>
        </is>
      </c>
      <c r="C808" s="99" t="inlineStr">
        <is>
          <t>TST* ROCK N ROOSTER SA</t>
        </is>
      </c>
      <c r="D808" s="100" t="n">
        <v>40.66</v>
      </c>
      <c r="E808" s="104">
        <f>IF($C808="","",IFERROR(LOOKUP(2,1/((ISNUMBER(SEARCH('Category Rules'!$B$6:$B$125,$C808)))*('Category Rules'!$B$6:$B$125&lt;&gt;"")),'Category Rules'!$C$6:$C$125),"Uncategorized"))</f>
        <v/>
      </c>
      <c r="F808" s="108" t="n"/>
      <c r="G808" s="106">
        <f>IF($C808="","",IF($F808&lt;&gt;"",$F808,$E808))</f>
        <v/>
      </c>
      <c r="H808" s="82">
        <f>IF($B808="","",TEXT($B808,"mmm yyyy"))</f>
        <v/>
      </c>
    </row>
    <row r="809" ht="18" customHeight="1">
      <c r="A809" s="14" t="n"/>
      <c r="B809" s="98" t="inlineStr">
        <is>
          <t>2026-05-29</t>
        </is>
      </c>
      <c r="C809" s="99" t="inlineStr">
        <is>
          <t>TST* BROTHERS BAR - NE</t>
        </is>
      </c>
      <c r="D809" s="100" t="n">
        <v>5.86</v>
      </c>
      <c r="E809" s="101">
        <f>IF($C809="","",IFERROR(LOOKUP(2,1/((ISNUMBER(SEARCH('Category Rules'!$B$6:$B$125,$C809)))*('Category Rules'!$B$6:$B$125&lt;&gt;"")),'Category Rules'!$C$6:$C$125),"Uncategorized"))</f>
        <v/>
      </c>
      <c r="F809" s="108" t="n"/>
      <c r="G809" s="103">
        <f>IF($C809="","",IF($F809&lt;&gt;"",$F809,$E809))</f>
        <v/>
      </c>
      <c r="H809" s="85">
        <f>IF($B809="","",TEXT($B809,"mmm yyyy"))</f>
        <v/>
      </c>
    </row>
    <row r="810" ht="18" customHeight="1">
      <c r="A810" s="10" t="n"/>
      <c r="B810" s="98" t="inlineStr">
        <is>
          <t>2026-05-29</t>
        </is>
      </c>
      <c r="C810" s="99" t="inlineStr">
        <is>
          <t>TST* BROTHERS BAR - NE</t>
        </is>
      </c>
      <c r="D810" s="100" t="n">
        <v>17.65</v>
      </c>
      <c r="E810" s="104">
        <f>IF($C810="","",IFERROR(LOOKUP(2,1/((ISNUMBER(SEARCH('Category Rules'!$B$6:$B$125,$C810)))*('Category Rules'!$B$6:$B$125&lt;&gt;"")),'Category Rules'!$C$6:$C$125),"Uncategorized"))</f>
        <v/>
      </c>
      <c r="F810" s="108" t="n"/>
      <c r="G810" s="106">
        <f>IF($C810="","",IF($F810&lt;&gt;"",$F810,$E810))</f>
        <v/>
      </c>
      <c r="H810" s="82">
        <f>IF($B810="","",TEXT($B810,"mmm yyyy"))</f>
        <v/>
      </c>
    </row>
    <row r="811" ht="18" customHeight="1">
      <c r="A811" s="14" t="n"/>
      <c r="B811" s="98" t="inlineStr">
        <is>
          <t>2026-05-30</t>
        </is>
      </c>
      <c r="C811" s="99" t="inlineStr">
        <is>
          <t>TST* ROCK N ROOSTER SA</t>
        </is>
      </c>
      <c r="D811" s="100" t="n">
        <v>15.89</v>
      </c>
      <c r="E811" s="101">
        <f>IF($C811="","",IFERROR(LOOKUP(2,1/((ISNUMBER(SEARCH('Category Rules'!$B$6:$B$125,$C811)))*('Category Rules'!$B$6:$B$125&lt;&gt;"")),'Category Rules'!$C$6:$C$125),"Uncategorized"))</f>
        <v/>
      </c>
      <c r="F811" s="108" t="n"/>
      <c r="G811" s="103">
        <f>IF($C811="","",IF($F811&lt;&gt;"",$F811,$E811))</f>
        <v/>
      </c>
      <c r="H811" s="85">
        <f>IF($B811="","",TEXT($B811,"mmm yyyy"))</f>
        <v/>
      </c>
    </row>
    <row r="812" ht="18" customHeight="1">
      <c r="A812" s="10" t="n"/>
      <c r="B812" s="98" t="inlineStr">
        <is>
          <t>2026-05-30</t>
        </is>
      </c>
      <c r="C812" s="99" t="inlineStr">
        <is>
          <t>WHATABURGER 1492</t>
        </is>
      </c>
      <c r="D812" s="100" t="n">
        <v>17.48</v>
      </c>
      <c r="E812" s="104">
        <f>IF($C812="","",IFERROR(LOOKUP(2,1/((ISNUMBER(SEARCH('Category Rules'!$B$6:$B$125,$C812)))*('Category Rules'!$B$6:$B$125&lt;&gt;"")),'Category Rules'!$C$6:$C$125),"Uncategorized"))</f>
        <v/>
      </c>
      <c r="F812" s="108" t="n"/>
      <c r="G812" s="106">
        <f>IF($C812="","",IF($F812&lt;&gt;"",$F812,$E812))</f>
        <v/>
      </c>
      <c r="H812" s="82">
        <f>IF($B812="","",TEXT($B812,"mmm yyyy"))</f>
        <v/>
      </c>
    </row>
    <row r="813" ht="18" customHeight="1">
      <c r="A813" s="14" t="n"/>
      <c r="B813" s="98" t="inlineStr">
        <is>
          <t>2026-05-30</t>
        </is>
      </c>
      <c r="C813" s="99" t="inlineStr">
        <is>
          <t>JEFFERSON'S OF JACKSON</t>
        </is>
      </c>
      <c r="D813" s="100" t="n">
        <v>30.19</v>
      </c>
      <c r="E813" s="101">
        <f>IF($C813="","",IFERROR(LOOKUP(2,1/((ISNUMBER(SEARCH('Category Rules'!$B$6:$B$125,$C813)))*('Category Rules'!$B$6:$B$125&lt;&gt;"")),'Category Rules'!$C$6:$C$125),"Uncategorized"))</f>
        <v/>
      </c>
      <c r="F813" s="108" t="n"/>
      <c r="G813" s="103">
        <f>IF($C813="","",IF($F813&lt;&gt;"",$F813,$E813))</f>
        <v/>
      </c>
      <c r="H813" s="85">
        <f>IF($B813="","",TEXT($B813,"mmm yyyy"))</f>
        <v/>
      </c>
    </row>
    <row r="814" ht="18" customHeight="1">
      <c r="A814" s="10" t="n"/>
      <c r="B814" s="98" t="inlineStr">
        <is>
          <t>2026-05-30</t>
        </is>
      </c>
      <c r="C814" s="99" t="inlineStr">
        <is>
          <t>W. M. GROCERY</t>
        </is>
      </c>
      <c r="D814" s="100" t="n">
        <v>3.59</v>
      </c>
      <c r="E814" s="104">
        <f>IF($C814="","",IFERROR(LOOKUP(2,1/((ISNUMBER(SEARCH('Category Rules'!$B$6:$B$125,$C814)))*('Category Rules'!$B$6:$B$125&lt;&gt;"")),'Category Rules'!$C$6:$C$125),"Uncategorized"))</f>
        <v/>
      </c>
      <c r="F814" s="108" t="n"/>
      <c r="G814" s="106">
        <f>IF($C814="","",IF($F814&lt;&gt;"",$F814,$E814))</f>
        <v/>
      </c>
      <c r="H814" s="82">
        <f>IF($B814="","",TEXT($B814,"mmm yyyy"))</f>
        <v/>
      </c>
    </row>
    <row r="815" ht="18" customHeight="1">
      <c r="A815" s="14" t="n"/>
      <c r="B815" s="98" t="inlineStr">
        <is>
          <t>2026-05-31</t>
        </is>
      </c>
      <c r="C815" s="99" t="inlineStr">
        <is>
          <t>DOLLAR GENERAL # DG 304</t>
        </is>
      </c>
      <c r="D815" s="100" t="n">
        <v>17.25</v>
      </c>
      <c r="E815" s="101">
        <f>IF($C815="","",IFERROR(LOOKUP(2,1/((ISNUMBER(SEARCH('Category Rules'!$B$6:$B$125,$C815)))*('Category Rules'!$B$6:$B$125&lt;&gt;"")),'Category Rules'!$C$6:$C$125),"Uncategorized"))</f>
        <v/>
      </c>
      <c r="F815" s="108" t="n"/>
      <c r="G815" s="103">
        <f>IF($C815="","",IF($F815&lt;&gt;"",$F815,$E815))</f>
        <v/>
      </c>
      <c r="H815" s="85">
        <f>IF($B815="","",TEXT($B815,"mmm yyyy"))</f>
        <v/>
      </c>
    </row>
    <row r="816" ht="18" customHeight="1">
      <c r="A816" s="10" t="n"/>
      <c r="B816" s="98" t="inlineStr">
        <is>
          <t>2026-05-31</t>
        </is>
      </c>
      <c r="C816" s="99" t="inlineStr">
        <is>
          <t>THE GREEN STORES</t>
        </is>
      </c>
      <c r="D816" s="100" t="n">
        <v>9.65</v>
      </c>
      <c r="E816" s="104">
        <f>IF($C816="","",IFERROR(LOOKUP(2,1/((ISNUMBER(SEARCH('Category Rules'!$B$6:$B$125,$C816)))*('Category Rules'!$B$6:$B$125&lt;&gt;"")),'Category Rules'!$C$6:$C$125),"Uncategorized"))</f>
        <v/>
      </c>
      <c r="F816" s="108" t="n"/>
      <c r="G816" s="106">
        <f>IF($C816="","",IF($F816&lt;&gt;"",$F816,$E816))</f>
        <v/>
      </c>
      <c r="H816" s="82">
        <f>IF($B816="","",TEXT($B816,"mmm yyyy"))</f>
        <v/>
      </c>
    </row>
    <row r="817" ht="18" customHeight="1">
      <c r="A817" s="14" t="n"/>
      <c r="B817" s="98" t="inlineStr">
        <is>
          <t>2026-05-31</t>
        </is>
      </c>
      <c r="C817" s="99" t="inlineStr">
        <is>
          <t>PIC'N SAVE #248</t>
        </is>
      </c>
      <c r="D817" s="100" t="n">
        <v>5.54</v>
      </c>
      <c r="E817" s="101">
        <f>IF($C817="","",IFERROR(LOOKUP(2,1/((ISNUMBER(SEARCH('Category Rules'!$B$6:$B$125,$C817)))*('Category Rules'!$B$6:$B$125&lt;&gt;"")),'Category Rules'!$C$6:$C$125),"Uncategorized"))</f>
        <v/>
      </c>
      <c r="F817" s="108" t="n"/>
      <c r="G817" s="103">
        <f>IF($C817="","",IF($F817&lt;&gt;"",$F817,$E817))</f>
        <v/>
      </c>
      <c r="H817" s="85">
        <f>IF($B817="","",TEXT($B817,"mmm yyyy"))</f>
        <v/>
      </c>
    </row>
    <row r="818" ht="18" customHeight="1">
      <c r="A818" s="10" t="n"/>
      <c r="B818" s="98" t="inlineStr">
        <is>
          <t>2026-05-31</t>
        </is>
      </c>
      <c r="C818" s="99" t="inlineStr">
        <is>
          <t>WHATABURGER 1492</t>
        </is>
      </c>
      <c r="D818" s="100" t="n">
        <v>17.48</v>
      </c>
      <c r="E818" s="104">
        <f>IF($C818="","",IFERROR(LOOKUP(2,1/((ISNUMBER(SEARCH('Category Rules'!$B$6:$B$125,$C818)))*('Category Rules'!$B$6:$B$125&lt;&gt;"")),'Category Rules'!$C$6:$C$125),"Uncategorized"))</f>
        <v/>
      </c>
      <c r="F818" s="108" t="n"/>
      <c r="G818" s="106">
        <f>IF($C818="","",IF($F818&lt;&gt;"",$F818,$E818))</f>
        <v/>
      </c>
      <c r="H818" s="82">
        <f>IF($B818="","",TEXT($B818,"mmm yyyy"))</f>
        <v/>
      </c>
    </row>
    <row r="819" ht="18" customHeight="1">
      <c r="A819" s="14" t="n"/>
      <c r="B819" s="98" t="inlineStr">
        <is>
          <t>2026-05-31</t>
        </is>
      </c>
      <c r="C819" s="99" t="inlineStr">
        <is>
          <t>PIC'N SAVE #248</t>
        </is>
      </c>
      <c r="D819" s="100" t="n">
        <v>2.46</v>
      </c>
      <c r="E819" s="101">
        <f>IF($C819="","",IFERROR(LOOKUP(2,1/((ISNUMBER(SEARCH('Category Rules'!$B$6:$B$125,$C819)))*('Category Rules'!$B$6:$B$125&lt;&gt;"")),'Category Rules'!$C$6:$C$125),"Uncategorized"))</f>
        <v/>
      </c>
      <c r="F819" s="108" t="n"/>
      <c r="G819" s="103">
        <f>IF($C819="","",IF($F819&lt;&gt;"",$F819,$E819))</f>
        <v/>
      </c>
      <c r="H819" s="85">
        <f>IF($B819="","",TEXT($B819,"mmm yyyy"))</f>
        <v/>
      </c>
    </row>
    <row r="820" ht="18" customHeight="1">
      <c r="A820" s="10" t="n"/>
      <c r="B820" s="98" t="inlineStr">
        <is>
          <t>2026-06-01</t>
        </is>
      </c>
      <c r="C820" s="99" t="inlineStr">
        <is>
          <t>SITE356853- CHE</t>
        </is>
      </c>
      <c r="D820" s="100" t="n">
        <v>12.09</v>
      </c>
      <c r="E820" s="104">
        <f>IF($C820="","",IFERROR(LOOKUP(2,1/((ISNUMBER(SEARCH('Category Rules'!$B$6:$B$125,$C820)))*('Category Rules'!$B$6:$B$125&lt;&gt;"")),'Category Rules'!$C$6:$C$125),"Uncategorized"))</f>
        <v/>
      </c>
      <c r="F820" s="108" t="n"/>
      <c r="G820" s="106">
        <f>IF($C820="","",IF($F820&lt;&gt;"",$F820,$E820))</f>
        <v/>
      </c>
      <c r="H820" s="82">
        <f>IF($B820="","",TEXT($B820,"mmm yyyy"))</f>
        <v/>
      </c>
    </row>
    <row r="821" ht="18" customHeight="1">
      <c r="A821" s="14" t="n"/>
      <c r="B821" s="98" t="inlineStr">
        <is>
          <t>2026-06-01</t>
        </is>
      </c>
      <c r="C821" s="99" t="inlineStr">
        <is>
          <t>DORSEY'S SUPERM</t>
        </is>
      </c>
      <c r="D821" s="100" t="n">
        <v>2.92</v>
      </c>
      <c r="E821" s="101">
        <f>IF($C821="","",IFERROR(LOOKUP(2,1/((ISNUMBER(SEARCH('Category Rules'!$B$6:$B$125,$C821)))*('Category Rules'!$B$6:$B$125&lt;&gt;"")),'Category Rules'!$C$6:$C$125),"Uncategorized"))</f>
        <v/>
      </c>
      <c r="F821" s="108" t="n"/>
      <c r="G821" s="103">
        <f>IF($C821="","",IF($F821&lt;&gt;"",$F821,$E821))</f>
        <v/>
      </c>
      <c r="H821" s="85">
        <f>IF($B821="","",TEXT($B821,"mmm yyyy"))</f>
        <v/>
      </c>
    </row>
    <row r="822" ht="18" customHeight="1">
      <c r="A822" s="10" t="n"/>
      <c r="B822" s="98" t="inlineStr">
        <is>
          <t>2026-06-01</t>
        </is>
      </c>
      <c r="C822" s="99" t="inlineStr">
        <is>
          <t>CASH APP*CARSON FREEMA</t>
        </is>
      </c>
      <c r="D822" s="100" t="n">
        <v>20.99</v>
      </c>
      <c r="E822" s="104">
        <f>IF($C822="","",IFERROR(LOOKUP(2,1/((ISNUMBER(SEARCH('Category Rules'!$B$6:$B$125,$C822)))*('Category Rules'!$B$6:$B$125&lt;&gt;"")),'Category Rules'!$C$6:$C$125),"Uncategorized"))</f>
        <v/>
      </c>
      <c r="F822" s="108" t="n"/>
      <c r="G822" s="106">
        <f>IF($C822="","",IF($F822&lt;&gt;"",$F822,$E822))</f>
        <v/>
      </c>
      <c r="H822" s="82">
        <f>IF($B822="","",TEXT($B822,"mmm yyyy"))</f>
        <v/>
      </c>
    </row>
    <row r="823" ht="18" customHeight="1">
      <c r="A823" s="14" t="n"/>
      <c r="B823" s="98" t="inlineStr">
        <is>
          <t>2026-06-01</t>
        </is>
      </c>
      <c r="C823" s="99" t="inlineStr">
        <is>
          <t>PIC'N SAVE #248</t>
        </is>
      </c>
      <c r="D823" s="100" t="n">
        <v>2.81</v>
      </c>
      <c r="E823" s="101">
        <f>IF($C823="","",IFERROR(LOOKUP(2,1/((ISNUMBER(SEARCH('Category Rules'!$B$6:$B$125,$C823)))*('Category Rules'!$B$6:$B$125&lt;&gt;"")),'Category Rules'!$C$6:$C$125),"Uncategorized"))</f>
        <v/>
      </c>
      <c r="F823" s="108" t="n"/>
      <c r="G823" s="103">
        <f>IF($C823="","",IF($F823&lt;&gt;"",$F823,$E823))</f>
        <v/>
      </c>
      <c r="H823" s="85">
        <f>IF($B823="","",TEXT($B823,"mmm yyyy"))</f>
        <v/>
      </c>
    </row>
    <row r="824" ht="18" customHeight="1">
      <c r="A824" s="10" t="n"/>
      <c r="B824" s="98" t="inlineStr">
        <is>
          <t>2026-06-01</t>
        </is>
      </c>
      <c r="C824" s="99" t="inlineStr">
        <is>
          <t>PIC'N SAVE #248</t>
        </is>
      </c>
      <c r="D824" s="100" t="n">
        <v>9.289999999999999</v>
      </c>
      <c r="E824" s="104">
        <f>IF($C824="","",IFERROR(LOOKUP(2,1/((ISNUMBER(SEARCH('Category Rules'!$B$6:$B$125,$C824)))*('Category Rules'!$B$6:$B$125&lt;&gt;"")),'Category Rules'!$C$6:$C$125),"Uncategorized"))</f>
        <v/>
      </c>
      <c r="F824" s="108" t="n"/>
      <c r="G824" s="106">
        <f>IF($C824="","",IF($F824&lt;&gt;"",$F824,$E824))</f>
        <v/>
      </c>
      <c r="H824" s="82">
        <f>IF($B824="","",TEXT($B824,"mmm yyyy"))</f>
        <v/>
      </c>
    </row>
    <row r="825" ht="18" customHeight="1">
      <c r="A825" s="14" t="n"/>
      <c r="B825" s="98" t="inlineStr">
        <is>
          <t>2026-06-02</t>
        </is>
      </c>
      <c r="C825" s="99" t="inlineStr">
        <is>
          <t>DOLLAR GENERAL # DG 304</t>
        </is>
      </c>
      <c r="D825" s="100" t="n">
        <v>23.49</v>
      </c>
      <c r="E825" s="101">
        <f>IF($C825="","",IFERROR(LOOKUP(2,1/((ISNUMBER(SEARCH('Category Rules'!$B$6:$B$125,$C825)))*('Category Rules'!$B$6:$B$125&lt;&gt;"")),'Category Rules'!$C$6:$C$125),"Uncategorized"))</f>
        <v/>
      </c>
      <c r="F825" s="108" t="n"/>
      <c r="G825" s="103">
        <f>IF($C825="","",IF($F825&lt;&gt;"",$F825,$E825))</f>
        <v/>
      </c>
      <c r="H825" s="85">
        <f>IF($B825="","",TEXT($B825,"mmm yyyy"))</f>
        <v/>
      </c>
    </row>
    <row r="826" ht="18" customHeight="1">
      <c r="A826" s="10" t="n"/>
      <c r="B826" s="98" t="inlineStr">
        <is>
          <t>2026-06-02</t>
        </is>
      </c>
      <c r="C826" s="99" t="inlineStr">
        <is>
          <t>CIRCLE K # 09320 83162</t>
        </is>
      </c>
      <c r="D826" s="100" t="n">
        <v>23.87</v>
      </c>
      <c r="E826" s="104">
        <f>IF($C826="","",IFERROR(LOOKUP(2,1/((ISNUMBER(SEARCH('Category Rules'!$B$6:$B$125,$C826)))*('Category Rules'!$B$6:$B$125&lt;&gt;"")),'Category Rules'!$C$6:$C$125),"Uncategorized"))</f>
        <v/>
      </c>
      <c r="F826" s="108" t="n"/>
      <c r="G826" s="106">
        <f>IF($C826="","",IF($F826&lt;&gt;"",$F826,$E826))</f>
        <v/>
      </c>
      <c r="H826" s="82">
        <f>IF($B826="","",TEXT($B826,"mmm yyyy"))</f>
        <v/>
      </c>
    </row>
    <row r="827" ht="18" customHeight="1">
      <c r="A827" s="14" t="n"/>
      <c r="B827" s="98" t="inlineStr">
        <is>
          <t>2026-06-02</t>
        </is>
      </c>
      <c r="C827" s="99" t="inlineStr">
        <is>
          <t>W. M. GROCERY</t>
        </is>
      </c>
      <c r="D827" s="100" t="n">
        <v>2.43</v>
      </c>
      <c r="E827" s="101">
        <f>IF($C827="","",IFERROR(LOOKUP(2,1/((ISNUMBER(SEARCH('Category Rules'!$B$6:$B$125,$C827)))*('Category Rules'!$B$6:$B$125&lt;&gt;"")),'Category Rules'!$C$6:$C$125),"Uncategorized"))</f>
        <v/>
      </c>
      <c r="F827" s="108" t="n"/>
      <c r="G827" s="103">
        <f>IF($C827="","",IF($F827&lt;&gt;"",$F827,$E827))</f>
        <v/>
      </c>
      <c r="H827" s="85">
        <f>IF($B827="","",TEXT($B827,"mmm yyyy"))</f>
        <v/>
      </c>
    </row>
    <row r="828" ht="18" customHeight="1">
      <c r="A828" s="10" t="n"/>
      <c r="B828" s="98" t="inlineStr">
        <is>
          <t>2026-06-02</t>
        </is>
      </c>
      <c r="C828" s="99" t="inlineStr">
        <is>
          <t>W. M. GROCERY</t>
        </is>
      </c>
      <c r="D828" s="100" t="n">
        <v>11</v>
      </c>
      <c r="E828" s="104">
        <f>IF($C828="","",IFERROR(LOOKUP(2,1/((ISNUMBER(SEARCH('Category Rules'!$B$6:$B$125,$C828)))*('Category Rules'!$B$6:$B$125&lt;&gt;"")),'Category Rules'!$C$6:$C$125),"Uncategorized"))</f>
        <v/>
      </c>
      <c r="F828" s="108" t="n"/>
      <c r="G828" s="106">
        <f>IF($C828="","",IF($F828&lt;&gt;"",$F828,$E828))</f>
        <v/>
      </c>
      <c r="H828" s="82">
        <f>IF($B828="","",TEXT($B828,"mmm yyyy"))</f>
        <v/>
      </c>
    </row>
    <row r="829" ht="18" customHeight="1">
      <c r="A829" s="14" t="n"/>
      <c r="B829" s="98" t="inlineStr">
        <is>
          <t>2026-06-02</t>
        </is>
      </c>
      <c r="C829" s="99" t="inlineStr">
        <is>
          <t>SITE358559 - TE</t>
        </is>
      </c>
      <c r="D829" s="100" t="n">
        <v>5.39</v>
      </c>
      <c r="E829" s="101">
        <f>IF($C829="","",IFERROR(LOOKUP(2,1/((ISNUMBER(SEARCH('Category Rules'!$B$6:$B$125,$C829)))*('Category Rules'!$B$6:$B$125&lt;&gt;"")),'Category Rules'!$C$6:$C$125),"Uncategorized"))</f>
        <v/>
      </c>
      <c r="F829" s="108" t="n"/>
      <c r="G829" s="103">
        <f>IF($C829="","",IF($F829&lt;&gt;"",$F829,$E829))</f>
        <v/>
      </c>
      <c r="H829" s="85">
        <f>IF($B829="","",TEXT($B829,"mmm yyyy"))</f>
        <v/>
      </c>
    </row>
    <row r="830" ht="18" customHeight="1">
      <c r="A830" s="10" t="n"/>
      <c r="B830" s="98" t="inlineStr">
        <is>
          <t>2026-06-02</t>
        </is>
      </c>
      <c r="C830" s="99" t="inlineStr">
        <is>
          <t>JACK'S #200</t>
        </is>
      </c>
      <c r="D830" s="100" t="n">
        <v>4.17</v>
      </c>
      <c r="E830" s="104">
        <f>IF($C830="","",IFERROR(LOOKUP(2,1/((ISNUMBER(SEARCH('Category Rules'!$B$6:$B$125,$C830)))*('Category Rules'!$B$6:$B$125&lt;&gt;"")),'Category Rules'!$C$6:$C$125),"Uncategorized"))</f>
        <v/>
      </c>
      <c r="F830" s="108" t="n"/>
      <c r="G830" s="106">
        <f>IF($C830="","",IF($F830&lt;&gt;"",$F830,$E830))</f>
        <v/>
      </c>
      <c r="H830" s="82">
        <f>IF($B830="","",TEXT($B830,"mmm yyyy"))</f>
        <v/>
      </c>
    </row>
    <row r="831" ht="18" customHeight="1">
      <c r="A831" s="14" t="n"/>
      <c r="B831" s="98" t="inlineStr">
        <is>
          <t>2026-06-02</t>
        </is>
      </c>
      <c r="C831" s="99" t="inlineStr">
        <is>
          <t>JACK'S #203</t>
        </is>
      </c>
      <c r="D831" s="100" t="n">
        <v>18.28</v>
      </c>
      <c r="E831" s="101">
        <f>IF($C831="","",IFERROR(LOOKUP(2,1/((ISNUMBER(SEARCH('Category Rules'!$B$6:$B$125,$C831)))*('Category Rules'!$B$6:$B$125&lt;&gt;"")),'Category Rules'!$C$6:$C$125),"Uncategorized"))</f>
        <v/>
      </c>
      <c r="F831" s="108" t="n"/>
      <c r="G831" s="103">
        <f>IF($C831="","",IF($F831&lt;&gt;"",$F831,$E831))</f>
        <v/>
      </c>
      <c r="H831" s="85">
        <f>IF($B831="","",TEXT($B831,"mmm yyyy"))</f>
        <v/>
      </c>
    </row>
    <row r="832" ht="18" customHeight="1">
      <c r="A832" s="10" t="n"/>
      <c r="B832" s="98" t="inlineStr">
        <is>
          <t>2026-06-02</t>
        </is>
      </c>
      <c r="C832" s="99" t="inlineStr">
        <is>
          <t>Bojangles 0914</t>
        </is>
      </c>
      <c r="D832" s="100" t="n">
        <v>12.96</v>
      </c>
      <c r="E832" s="104">
        <f>IF($C832="","",IFERROR(LOOKUP(2,1/((ISNUMBER(SEARCH('Category Rules'!$B$6:$B$125,$C832)))*('Category Rules'!$B$6:$B$125&lt;&gt;"")),'Category Rules'!$C$6:$C$125),"Uncategorized"))</f>
        <v/>
      </c>
      <c r="F832" s="108" t="n"/>
      <c r="G832" s="106">
        <f>IF($C832="","",IF($F832&lt;&gt;"",$F832,$E832))</f>
        <v/>
      </c>
      <c r="H832" s="82">
        <f>IF($B832="","",TEXT($B832,"mmm yyyy"))</f>
        <v/>
      </c>
    </row>
    <row r="833" ht="18" customHeight="1">
      <c r="A833" s="14" t="n"/>
      <c r="B833" s="98" t="inlineStr">
        <is>
          <t>2026-06-02</t>
        </is>
      </c>
      <c r="C833" s="99" t="inlineStr">
        <is>
          <t>PIC'N SAVE #248</t>
        </is>
      </c>
      <c r="D833" s="100" t="n">
        <v>2.46</v>
      </c>
      <c r="E833" s="101">
        <f>IF($C833="","",IFERROR(LOOKUP(2,1/((ISNUMBER(SEARCH('Category Rules'!$B$6:$B$125,$C833)))*('Category Rules'!$B$6:$B$125&lt;&gt;"")),'Category Rules'!$C$6:$C$125),"Uncategorized"))</f>
        <v/>
      </c>
      <c r="F833" s="108" t="n"/>
      <c r="G833" s="103">
        <f>IF($C833="","",IF($F833&lt;&gt;"",$F833,$E833))</f>
        <v/>
      </c>
      <c r="H833" s="85">
        <f>IF($B833="","",TEXT($B833,"mmm yyyy"))</f>
        <v/>
      </c>
    </row>
    <row r="834" ht="18" customHeight="1">
      <c r="A834" s="10" t="n"/>
      <c r="B834" s="98" t="inlineStr">
        <is>
          <t>2026-06-03</t>
        </is>
      </c>
      <c r="C834" s="99" t="inlineStr">
        <is>
          <t>SITE356853- CHE</t>
        </is>
      </c>
      <c r="D834" s="100" t="n">
        <v>14.98</v>
      </c>
      <c r="E834" s="104">
        <f>IF($C834="","",IFERROR(LOOKUP(2,1/((ISNUMBER(SEARCH('Category Rules'!$B$6:$B$125,$C834)))*('Category Rules'!$B$6:$B$125&lt;&gt;"")),'Category Rules'!$C$6:$C$125),"Uncategorized"))</f>
        <v/>
      </c>
      <c r="F834" s="108" t="n"/>
      <c r="G834" s="106">
        <f>IF($C834="","",IF($F834&lt;&gt;"",$F834,$E834))</f>
        <v/>
      </c>
      <c r="H834" s="82">
        <f>IF($B834="","",TEXT($B834,"mmm yyyy"))</f>
        <v/>
      </c>
    </row>
    <row r="835" ht="18" customHeight="1">
      <c r="A835" s="14" t="n"/>
      <c r="B835" s="98" t="inlineStr">
        <is>
          <t>2026-06-03</t>
        </is>
      </c>
      <c r="C835" s="99" t="inlineStr">
        <is>
          <t>TACO BELL #7029147</t>
        </is>
      </c>
      <c r="D835" s="100" t="n">
        <v>8.25</v>
      </c>
      <c r="E835" s="101">
        <f>IF($C835="","",IFERROR(LOOKUP(2,1/((ISNUMBER(SEARCH('Category Rules'!$B$6:$B$125,$C835)))*('Category Rules'!$B$6:$B$125&lt;&gt;"")),'Category Rules'!$C$6:$C$125),"Uncategorized"))</f>
        <v/>
      </c>
      <c r="F835" s="108" t="n"/>
      <c r="G835" s="103">
        <f>IF($C835="","",IF($F835&lt;&gt;"",$F835,$E835))</f>
        <v/>
      </c>
      <c r="H835" s="85">
        <f>IF($B835="","",TEXT($B835,"mmm yyyy"))</f>
        <v/>
      </c>
    </row>
    <row r="836" ht="18" customHeight="1">
      <c r="A836" s="10" t="n"/>
      <c r="B836" s="98" t="inlineStr">
        <is>
          <t>2026-06-03</t>
        </is>
      </c>
      <c r="C836" s="99" t="inlineStr">
        <is>
          <t>Spotify USA</t>
        </is>
      </c>
      <c r="D836" s="100" t="n">
        <v>14.03</v>
      </c>
      <c r="E836" s="104">
        <f>IF($C836="","",IFERROR(LOOKUP(2,1/((ISNUMBER(SEARCH('Category Rules'!$B$6:$B$125,$C836)))*('Category Rules'!$B$6:$B$125&lt;&gt;"")),'Category Rules'!$C$6:$C$125),"Uncategorized"))</f>
        <v/>
      </c>
      <c r="F836" s="108" t="n"/>
      <c r="G836" s="106">
        <f>IF($C836="","",IF($F836&lt;&gt;"",$F836,$E836))</f>
        <v/>
      </c>
      <c r="H836" s="82">
        <f>IF($B836="","",TEXT($B836,"mmm yyyy"))</f>
        <v/>
      </c>
    </row>
    <row r="837" ht="18" customHeight="1">
      <c r="A837" s="14" t="n"/>
      <c r="B837" s="98" t="inlineStr">
        <is>
          <t>2026-06-04</t>
        </is>
      </c>
      <c r="C837" s="99" t="inlineStr">
        <is>
          <t>SITE356853- CHE</t>
        </is>
      </c>
      <c r="D837" s="100" t="n">
        <v>6.36</v>
      </c>
      <c r="E837" s="101">
        <f>IF($C837="","",IFERROR(LOOKUP(2,1/((ISNUMBER(SEARCH('Category Rules'!$B$6:$B$125,$C837)))*('Category Rules'!$B$6:$B$125&lt;&gt;"")),'Category Rules'!$C$6:$C$125),"Uncategorized"))</f>
        <v/>
      </c>
      <c r="F837" s="108" t="n"/>
      <c r="G837" s="103">
        <f>IF($C837="","",IF($F837&lt;&gt;"",$F837,$E837))</f>
        <v/>
      </c>
      <c r="H837" s="85">
        <f>IF($B837="","",TEXT($B837,"mmm yyyy"))</f>
        <v/>
      </c>
    </row>
    <row r="838" ht="18" customHeight="1">
      <c r="A838" s="10" t="n"/>
      <c r="B838" s="98" t="inlineStr">
        <is>
          <t>2026-06-04</t>
        </is>
      </c>
      <c r="C838" s="99" t="inlineStr">
        <is>
          <t>SITE209611 - CH</t>
        </is>
      </c>
      <c r="D838" s="100" t="n">
        <v>20.01</v>
      </c>
      <c r="E838" s="104">
        <f>IF($C838="","",IFERROR(LOOKUP(2,1/((ISNUMBER(SEARCH('Category Rules'!$B$6:$B$125,$C838)))*('Category Rules'!$B$6:$B$125&lt;&gt;"")),'Category Rules'!$C$6:$C$125),"Uncategorized"))</f>
        <v/>
      </c>
      <c r="F838" s="108" t="n"/>
      <c r="G838" s="106">
        <f>IF($C838="","",IF($F838&lt;&gt;"",$F838,$E838))</f>
        <v/>
      </c>
      <c r="H838" s="82">
        <f>IF($B838="","",TEXT($B838,"mmm yyyy"))</f>
        <v/>
      </c>
    </row>
    <row r="839" ht="18" customHeight="1">
      <c r="A839" s="14" t="n"/>
      <c r="B839" s="98" t="inlineStr">
        <is>
          <t>2026-06-04</t>
        </is>
      </c>
      <c r="C839" s="99" t="inlineStr">
        <is>
          <t>MARATHON 235473</t>
        </is>
      </c>
      <c r="D839" s="100" t="n">
        <v>4.65</v>
      </c>
      <c r="E839" s="101">
        <f>IF($C839="","",IFERROR(LOOKUP(2,1/((ISNUMBER(SEARCH('Category Rules'!$B$6:$B$125,$C839)))*('Category Rules'!$B$6:$B$125&lt;&gt;"")),'Category Rules'!$C$6:$C$125),"Uncategorized"))</f>
        <v/>
      </c>
      <c r="F839" s="108" t="n"/>
      <c r="G839" s="103">
        <f>IF($C839="","",IF($F839&lt;&gt;"",$F839,$E839))</f>
        <v/>
      </c>
      <c r="H839" s="85">
        <f>IF($B839="","",TEXT($B839,"mmm yyyy"))</f>
        <v/>
      </c>
    </row>
    <row r="840" ht="18" customHeight="1">
      <c r="A840" s="10" t="n"/>
      <c r="B840" s="98" t="inlineStr">
        <is>
          <t>2026-06-04</t>
        </is>
      </c>
      <c r="C840" s="99" t="inlineStr">
        <is>
          <t>JACK'S #153 OXFORD</t>
        </is>
      </c>
      <c r="D840" s="100" t="n">
        <v>10.32</v>
      </c>
      <c r="E840" s="104">
        <f>IF($C840="","",IFERROR(LOOKUP(2,1/((ISNUMBER(SEARCH('Category Rules'!$B$6:$B$125,$C840)))*('Category Rules'!$B$6:$B$125&lt;&gt;"")),'Category Rules'!$C$6:$C$125),"Uncategorized"))</f>
        <v/>
      </c>
      <c r="F840" s="108" t="n"/>
      <c r="G840" s="106">
        <f>IF($C840="","",IF($F840&lt;&gt;"",$F840,$E840))</f>
        <v/>
      </c>
      <c r="H840" s="82">
        <f>IF($B840="","",TEXT($B840,"mmm yyyy"))</f>
        <v/>
      </c>
    </row>
    <row r="841" ht="18" customHeight="1">
      <c r="A841" s="14" t="n"/>
      <c r="B841" s="98" t="inlineStr">
        <is>
          <t>2026-06-04</t>
        </is>
      </c>
      <c r="C841" s="99" t="inlineStr">
        <is>
          <t>APPLE CASH SENT MONEY</t>
        </is>
      </c>
      <c r="D841" s="100" t="n">
        <v>145</v>
      </c>
      <c r="E841" s="101">
        <f>IF($C841="","",IFERROR(LOOKUP(2,1/((ISNUMBER(SEARCH('Category Rules'!$B$6:$B$125,$C841)))*('Category Rules'!$B$6:$B$125&lt;&gt;"")),'Category Rules'!$C$6:$C$125),"Uncategorized"))</f>
        <v/>
      </c>
      <c r="F841" s="108" t="n"/>
      <c r="G841" s="103">
        <f>IF($C841="","",IF($F841&lt;&gt;"",$F841,$E841))</f>
        <v/>
      </c>
      <c r="H841" s="85">
        <f>IF($B841="","",TEXT($B841,"mmm yyyy"))</f>
        <v/>
      </c>
    </row>
    <row r="842" ht="18" customHeight="1">
      <c r="A842" s="10" t="n"/>
      <c r="B842" s="98" t="inlineStr">
        <is>
          <t>2026-06-04</t>
        </is>
      </c>
      <c r="C842" s="99" t="inlineStr">
        <is>
          <t>APPLE CASH BALANCE ADD</t>
        </is>
      </c>
      <c r="D842" s="100" t="n">
        <v>145</v>
      </c>
      <c r="E842" s="104">
        <f>IF($C842="","",IFERROR(LOOKUP(2,1/((ISNUMBER(SEARCH('Category Rules'!$B$6:$B$125,$C842)))*('Category Rules'!$B$6:$B$125&lt;&gt;"")),'Category Rules'!$C$6:$C$125),"Uncategorized"))</f>
        <v/>
      </c>
      <c r="F842" s="108" t="n"/>
      <c r="G842" s="106">
        <f>IF($C842="","",IF($F842&lt;&gt;"",$F842,$E842))</f>
        <v/>
      </c>
      <c r="H842" s="82">
        <f>IF($B842="","",TEXT($B842,"mmm yyyy"))</f>
        <v/>
      </c>
    </row>
    <row r="843" ht="18" customHeight="1">
      <c r="A843" s="14" t="n"/>
      <c r="B843" s="98" t="inlineStr">
        <is>
          <t>2026-06-04</t>
        </is>
      </c>
      <c r="C843" s="99" t="inlineStr">
        <is>
          <t>ROCK AUTO</t>
        </is>
      </c>
      <c r="D843" s="100" t="n">
        <v>23.59</v>
      </c>
      <c r="E843" s="101">
        <f>IF($C843="","",IFERROR(LOOKUP(2,1/((ISNUMBER(SEARCH('Category Rules'!$B$6:$B$125,$C843)))*('Category Rules'!$B$6:$B$125&lt;&gt;"")),'Category Rules'!$C$6:$C$125),"Uncategorized"))</f>
        <v/>
      </c>
      <c r="F843" s="108" t="n"/>
      <c r="G843" s="103">
        <f>IF($C843="","",IF($F843&lt;&gt;"",$F843,$E843))</f>
        <v/>
      </c>
      <c r="H843" s="85">
        <f>IF($B843="","",TEXT($B843,"mmm yyyy"))</f>
        <v/>
      </c>
    </row>
    <row r="844" ht="18" customHeight="1">
      <c r="A844" s="10" t="n"/>
      <c r="B844" s="98" t="inlineStr">
        <is>
          <t>2026-06-04</t>
        </is>
      </c>
      <c r="C844" s="99" t="inlineStr">
        <is>
          <t>Bojangles 0914</t>
        </is>
      </c>
      <c r="D844" s="100" t="n">
        <v>13.07</v>
      </c>
      <c r="E844" s="104">
        <f>IF($C844="","",IFERROR(LOOKUP(2,1/((ISNUMBER(SEARCH('Category Rules'!$B$6:$B$125,$C844)))*('Category Rules'!$B$6:$B$125&lt;&gt;"")),'Category Rules'!$C$6:$C$125),"Uncategorized"))</f>
        <v/>
      </c>
      <c r="F844" s="108" t="n"/>
      <c r="G844" s="106">
        <f>IF($C844="","",IF($F844&lt;&gt;"",$F844,$E844))</f>
        <v/>
      </c>
      <c r="H844" s="82">
        <f>IF($B844="","",TEXT($B844,"mmm yyyy"))</f>
        <v/>
      </c>
    </row>
    <row r="845" ht="18" customHeight="1">
      <c r="A845" s="14" t="n"/>
      <c r="B845" s="98" t="inlineStr">
        <is>
          <t>2026-06-05</t>
        </is>
      </c>
      <c r="C845" s="99" t="inlineStr">
        <is>
          <t>WAL-MART #0300</t>
        </is>
      </c>
      <c r="D845" s="100" t="n">
        <v>196.99</v>
      </c>
      <c r="E845" s="101">
        <f>IF($C845="","",IFERROR(LOOKUP(2,1/((ISNUMBER(SEARCH('Category Rules'!$B$6:$B$125,$C845)))*('Category Rules'!$B$6:$B$125&lt;&gt;"")),'Category Rules'!$C$6:$C$125),"Uncategorized"))</f>
        <v/>
      </c>
      <c r="F845" s="108" t="n"/>
      <c r="G845" s="103">
        <f>IF($C845="","",IF($F845&lt;&gt;"",$F845,$E845))</f>
        <v/>
      </c>
      <c r="H845" s="85">
        <f>IF($B845="","",TEXT($B845,"mmm yyyy"))</f>
        <v/>
      </c>
    </row>
    <row r="846" ht="18" customHeight="1">
      <c r="A846" s="10" t="n"/>
      <c r="B846" s="98" t="inlineStr">
        <is>
          <t>2026-06-05</t>
        </is>
      </c>
      <c r="C846" s="99" t="inlineStr">
        <is>
          <t>W. M. GROCERY</t>
        </is>
      </c>
      <c r="D846" s="100" t="n">
        <v>2.95</v>
      </c>
      <c r="E846" s="104">
        <f>IF($C846="","",IFERROR(LOOKUP(2,1/((ISNUMBER(SEARCH('Category Rules'!$B$6:$B$125,$C846)))*('Category Rules'!$B$6:$B$125&lt;&gt;"")),'Category Rules'!$C$6:$C$125),"Uncategorized"))</f>
        <v/>
      </c>
      <c r="F846" s="108" t="n"/>
      <c r="G846" s="106">
        <f>IF($C846="","",IF($F846&lt;&gt;"",$F846,$E846))</f>
        <v/>
      </c>
      <c r="H846" s="82">
        <f>IF($B846="","",TEXT($B846,"mmm yyyy"))</f>
        <v/>
      </c>
    </row>
    <row r="847" ht="18" customHeight="1">
      <c r="A847" s="14" t="n"/>
      <c r="B847" s="98" t="inlineStr">
        <is>
          <t>2026-06-05</t>
        </is>
      </c>
      <c r="C847" s="99" t="inlineStr">
        <is>
          <t>W. M. GROCERY</t>
        </is>
      </c>
      <c r="D847" s="100" t="n">
        <v>11.64</v>
      </c>
      <c r="E847" s="101">
        <f>IF($C847="","",IFERROR(LOOKUP(2,1/((ISNUMBER(SEARCH('Category Rules'!$B$6:$B$125,$C847)))*('Category Rules'!$B$6:$B$125&lt;&gt;"")),'Category Rules'!$C$6:$C$125),"Uncategorized"))</f>
        <v/>
      </c>
      <c r="F847" s="108" t="n"/>
      <c r="G847" s="103">
        <f>IF($C847="","",IF($F847&lt;&gt;"",$F847,$E847))</f>
        <v/>
      </c>
      <c r="H847" s="85">
        <f>IF($B847="","",TEXT($B847,"mmm yyyy"))</f>
        <v/>
      </c>
    </row>
    <row r="848" ht="18" customHeight="1">
      <c r="A848" s="10" t="n"/>
      <c r="B848" s="98" t="inlineStr">
        <is>
          <t>2026-06-05</t>
        </is>
      </c>
      <c r="C848" s="99" t="inlineStr">
        <is>
          <t>ORACL*Waffle House 160</t>
        </is>
      </c>
      <c r="D848" s="100" t="n">
        <v>16</v>
      </c>
      <c r="E848" s="104">
        <f>IF($C848="","",IFERROR(LOOKUP(2,1/((ISNUMBER(SEARCH('Category Rules'!$B$6:$B$125,$C848)))*('Category Rules'!$B$6:$B$125&lt;&gt;"")),'Category Rules'!$C$6:$C$125),"Uncategorized"))</f>
        <v/>
      </c>
      <c r="F848" s="108" t="n"/>
      <c r="G848" s="106">
        <f>IF($C848="","",IF($F848&lt;&gt;"",$F848,$E848))</f>
        <v/>
      </c>
      <c r="H848" s="82">
        <f>IF($B848="","",TEXT($B848,"mmm yyyy"))</f>
        <v/>
      </c>
    </row>
    <row r="849" ht="18" customHeight="1">
      <c r="A849" s="14" t="n"/>
      <c r="B849" s="98" t="inlineStr">
        <is>
          <t>2026-06-05</t>
        </is>
      </c>
      <c r="C849" s="99" t="inlineStr">
        <is>
          <t>LAKE WEDOWEE BAIT &amp; TAC</t>
        </is>
      </c>
      <c r="D849" s="100" t="n">
        <v>74</v>
      </c>
      <c r="E849" s="101">
        <f>IF($C849="","",IFERROR(LOOKUP(2,1/((ISNUMBER(SEARCH('Category Rules'!$B$6:$B$125,$C849)))*('Category Rules'!$B$6:$B$125&lt;&gt;"")),'Category Rules'!$C$6:$C$125),"Uncategorized"))</f>
        <v/>
      </c>
      <c r="F849" s="108" t="n"/>
      <c r="G849" s="103">
        <f>IF($C849="","",IF($F849&lt;&gt;"",$F849,$E849))</f>
        <v/>
      </c>
      <c r="H849" s="85">
        <f>IF($B849="","",TEXT($B849,"mmm yyyy"))</f>
        <v/>
      </c>
    </row>
    <row r="850" ht="18" customHeight="1">
      <c r="A850" s="10" t="n"/>
      <c r="B850" s="98" t="inlineStr">
        <is>
          <t>2026-06-05</t>
        </is>
      </c>
      <c r="C850" s="99" t="inlineStr">
        <is>
          <t>LAKE WEDOWEE BAIT &amp; TAC</t>
        </is>
      </c>
      <c r="D850" s="100" t="n">
        <v>4.32</v>
      </c>
      <c r="E850" s="104">
        <f>IF($C850="","",IFERROR(LOOKUP(2,1/((ISNUMBER(SEARCH('Category Rules'!$B$6:$B$125,$C850)))*('Category Rules'!$B$6:$B$125&lt;&gt;"")),'Category Rules'!$C$6:$C$125),"Uncategorized"))</f>
        <v/>
      </c>
      <c r="F850" s="108" t="n"/>
      <c r="G850" s="106">
        <f>IF($C850="","",IF($F850&lt;&gt;"",$F850,$E850))</f>
        <v/>
      </c>
      <c r="H850" s="82">
        <f>IF($B850="","",TEXT($B850,"mmm yyyy"))</f>
        <v/>
      </c>
    </row>
    <row r="851" ht="18" customHeight="1">
      <c r="A851" s="14" t="n"/>
      <c r="B851" s="98" t="inlineStr">
        <is>
          <t>2026-06-06</t>
        </is>
      </c>
      <c r="C851" s="99" t="inlineStr">
        <is>
          <t>MARATHON 235473</t>
        </is>
      </c>
      <c r="D851" s="100" t="n">
        <v>36.84</v>
      </c>
      <c r="E851" s="101">
        <f>IF($C851="","",IFERROR(LOOKUP(2,1/((ISNUMBER(SEARCH('Category Rules'!$B$6:$B$125,$C851)))*('Category Rules'!$B$6:$B$125&lt;&gt;"")),'Category Rules'!$C$6:$C$125),"Uncategorized"))</f>
        <v/>
      </c>
      <c r="F851" s="108" t="n"/>
      <c r="G851" s="103">
        <f>IF($C851="","",IF($F851&lt;&gt;"",$F851,$E851))</f>
        <v/>
      </c>
      <c r="H851" s="85">
        <f>IF($B851="","",TEXT($B851,"mmm yyyy"))</f>
        <v/>
      </c>
    </row>
    <row r="852" ht="18" customHeight="1">
      <c r="A852" s="10" t="n"/>
      <c r="B852" s="98" t="inlineStr">
        <is>
          <t>2026-06-06</t>
        </is>
      </c>
      <c r="C852" s="99" t="inlineStr">
        <is>
          <t>TACO BELL #7029160</t>
        </is>
      </c>
      <c r="D852" s="100" t="n">
        <v>40.24</v>
      </c>
      <c r="E852" s="104">
        <f>IF($C852="","",IFERROR(LOOKUP(2,1/((ISNUMBER(SEARCH('Category Rules'!$B$6:$B$125,$C852)))*('Category Rules'!$B$6:$B$125&lt;&gt;"")),'Category Rules'!$C$6:$C$125),"Uncategorized"))</f>
        <v/>
      </c>
      <c r="F852" s="108" t="n"/>
      <c r="G852" s="106">
        <f>IF($C852="","",IF($F852&lt;&gt;"",$F852,$E852))</f>
        <v/>
      </c>
      <c r="H852" s="82">
        <f>IF($B852="","",TEXT($B852,"mmm yyyy"))</f>
        <v/>
      </c>
    </row>
    <row r="853" ht="18" customHeight="1">
      <c r="A853" s="14" t="n"/>
      <c r="B853" s="98" t="inlineStr">
        <is>
          <t>2026-06-06</t>
        </is>
      </c>
      <c r="C853" s="99" t="inlineStr">
        <is>
          <t>SQ *JASMYNE TURNER</t>
        </is>
      </c>
      <c r="D853" s="100" t="n">
        <v>30</v>
      </c>
      <c r="E853" s="101">
        <f>IF($C853="","",IFERROR(LOOKUP(2,1/((ISNUMBER(SEARCH('Category Rules'!$B$6:$B$125,$C853)))*('Category Rules'!$B$6:$B$125&lt;&gt;"")),'Category Rules'!$C$6:$C$125),"Uncategorized"))</f>
        <v/>
      </c>
      <c r="F853" s="108" t="n"/>
      <c r="G853" s="103">
        <f>IF($C853="","",IF($F853&lt;&gt;"",$F853,$E853))</f>
        <v/>
      </c>
      <c r="H853" s="85">
        <f>IF($B853="","",TEXT($B853,"mmm yyyy"))</f>
        <v/>
      </c>
    </row>
    <row r="854" ht="18" customHeight="1">
      <c r="A854" s="10" t="n"/>
      <c r="B854" s="98" t="inlineStr">
        <is>
          <t>2026-06-06</t>
        </is>
      </c>
      <c r="C854" s="99" t="inlineStr">
        <is>
          <t>JEFFERSON'S OF JACKSON</t>
        </is>
      </c>
      <c r="D854" s="100" t="n">
        <v>24.4</v>
      </c>
      <c r="E854" s="104">
        <f>IF($C854="","",IFERROR(LOOKUP(2,1/((ISNUMBER(SEARCH('Category Rules'!$B$6:$B$125,$C854)))*('Category Rules'!$B$6:$B$125&lt;&gt;"")),'Category Rules'!$C$6:$C$125),"Uncategorized"))</f>
        <v/>
      </c>
      <c r="F854" s="108" t="n"/>
      <c r="G854" s="106">
        <f>IF($C854="","",IF($F854&lt;&gt;"",$F854,$E854))</f>
        <v/>
      </c>
      <c r="H854" s="82">
        <f>IF($B854="","",TEXT($B854,"mmm yyyy"))</f>
        <v/>
      </c>
    </row>
    <row r="855" ht="18" customHeight="1">
      <c r="A855" s="14" t="n"/>
      <c r="B855" s="98" t="inlineStr">
        <is>
          <t>2026-06-07</t>
        </is>
      </c>
      <c r="C855" s="99" t="inlineStr">
        <is>
          <t>TEXACO 0358559</t>
        </is>
      </c>
      <c r="D855" s="100" t="n">
        <v>90.37</v>
      </c>
      <c r="E855" s="101">
        <f>IF($C855="","",IFERROR(LOOKUP(2,1/((ISNUMBER(SEARCH('Category Rules'!$B$6:$B$125,$C855)))*('Category Rules'!$B$6:$B$125&lt;&gt;"")),'Category Rules'!$C$6:$C$125),"Uncategorized"))</f>
        <v/>
      </c>
      <c r="F855" s="108" t="n"/>
      <c r="G855" s="103">
        <f>IF($C855="","",IF($F855&lt;&gt;"",$F855,$E855))</f>
        <v/>
      </c>
      <c r="H855" s="85">
        <f>IF($B855="","",TEXT($B855,"mmm yyyy"))</f>
        <v/>
      </c>
    </row>
    <row r="856" ht="18" customHeight="1">
      <c r="A856" s="10" t="n"/>
      <c r="B856" s="98" t="inlineStr">
        <is>
          <t>2026-06-07</t>
        </is>
      </c>
      <c r="C856" s="99" t="inlineStr">
        <is>
          <t>SITE358559 - TE</t>
        </is>
      </c>
      <c r="D856" s="100" t="n">
        <v>2.37</v>
      </c>
      <c r="E856" s="104">
        <f>IF($C856="","",IFERROR(LOOKUP(2,1/((ISNUMBER(SEARCH('Category Rules'!$B$6:$B$125,$C856)))*('Category Rules'!$B$6:$B$125&lt;&gt;"")),'Category Rules'!$C$6:$C$125),"Uncategorized"))</f>
        <v/>
      </c>
      <c r="F856" s="108" t="n"/>
      <c r="G856" s="106">
        <f>IF($C856="","",IF($F856&lt;&gt;"",$F856,$E856))</f>
        <v/>
      </c>
      <c r="H856" s="82">
        <f>IF($B856="","",TEXT($B856,"mmm yyyy"))</f>
        <v/>
      </c>
    </row>
    <row r="857" ht="18" customHeight="1">
      <c r="A857" s="14" t="n"/>
      <c r="B857" s="98" t="inlineStr">
        <is>
          <t>2026-06-07</t>
        </is>
      </c>
      <c r="C857" s="99" t="inlineStr">
        <is>
          <t>DORSEY'S SUPERM</t>
        </is>
      </c>
      <c r="D857" s="100" t="n">
        <v>1.75</v>
      </c>
      <c r="E857" s="101">
        <f>IF($C857="","",IFERROR(LOOKUP(2,1/((ISNUMBER(SEARCH('Category Rules'!$B$6:$B$125,$C857)))*('Category Rules'!$B$6:$B$125&lt;&gt;"")),'Category Rules'!$C$6:$C$125),"Uncategorized"))</f>
        <v/>
      </c>
      <c r="F857" s="108" t="n"/>
      <c r="G857" s="103">
        <f>IF($C857="","",IF($F857&lt;&gt;"",$F857,$E857))</f>
        <v/>
      </c>
      <c r="H857" s="85">
        <f>IF($B857="","",TEXT($B857,"mmm yyyy"))</f>
        <v/>
      </c>
    </row>
    <row r="858" ht="18" customHeight="1">
      <c r="A858" s="10" t="n"/>
      <c r="B858" s="98" t="inlineStr">
        <is>
          <t>2026-06-07</t>
        </is>
      </c>
      <c r="C858" s="99" t="inlineStr">
        <is>
          <t>MUNICIPALPAY*SERVICES</t>
        </is>
      </c>
      <c r="D858" s="100" t="n">
        <v>2.23</v>
      </c>
      <c r="E858" s="104">
        <f>IF($C858="","",IFERROR(LOOKUP(2,1/((ISNUMBER(SEARCH('Category Rules'!$B$6:$B$125,$C858)))*('Category Rules'!$B$6:$B$125&lt;&gt;"")),'Category Rules'!$C$6:$C$125),"Uncategorized"))</f>
        <v/>
      </c>
      <c r="F858" s="108" t="n"/>
      <c r="G858" s="106">
        <f>IF($C858="","",IF($F858&lt;&gt;"",$F858,$E858))</f>
        <v/>
      </c>
      <c r="H858" s="82">
        <f>IF($B858="","",TEXT($B858,"mmm yyyy"))</f>
        <v/>
      </c>
    </row>
    <row r="859" ht="18" customHeight="1">
      <c r="A859" s="14" t="n"/>
      <c r="B859" s="98" t="inlineStr">
        <is>
          <t>2026-06-07</t>
        </is>
      </c>
      <c r="C859" s="99" t="inlineStr">
        <is>
          <t>WHATABURGER 1492</t>
        </is>
      </c>
      <c r="D859" s="100" t="n">
        <v>16.93</v>
      </c>
      <c r="E859" s="101">
        <f>IF($C859="","",IFERROR(LOOKUP(2,1/((ISNUMBER(SEARCH('Category Rules'!$B$6:$B$125,$C859)))*('Category Rules'!$B$6:$B$125&lt;&gt;"")),'Category Rules'!$C$6:$C$125),"Uncategorized"))</f>
        <v/>
      </c>
      <c r="F859" s="108" t="n"/>
      <c r="G859" s="103">
        <f>IF($C859="","",IF($F859&lt;&gt;"",$F859,$E859))</f>
        <v/>
      </c>
      <c r="H859" s="85">
        <f>IF($B859="","",TEXT($B859,"mmm yyyy"))</f>
        <v/>
      </c>
    </row>
    <row r="860" ht="18" customHeight="1">
      <c r="A860" s="10" t="n"/>
      <c r="B860" s="98" t="inlineStr">
        <is>
          <t>2026-06-07</t>
        </is>
      </c>
      <c r="C860" s="99" t="inlineStr">
        <is>
          <t>COOK OUT JACKSONVILLE</t>
        </is>
      </c>
      <c r="D860" s="100" t="n">
        <v>8.789999999999999</v>
      </c>
      <c r="E860" s="104">
        <f>IF($C860="","",IFERROR(LOOKUP(2,1/((ISNUMBER(SEARCH('Category Rules'!$B$6:$B$125,$C860)))*('Category Rules'!$B$6:$B$125&lt;&gt;"")),'Category Rules'!$C$6:$C$125),"Uncategorized"))</f>
        <v/>
      </c>
      <c r="F860" s="108" t="n"/>
      <c r="G860" s="106">
        <f>IF($C860="","",IF($F860&lt;&gt;"",$F860,$E860))</f>
        <v/>
      </c>
      <c r="H860" s="82">
        <f>IF($B860="","",TEXT($B860,"mmm yyyy"))</f>
        <v/>
      </c>
    </row>
    <row r="861" ht="18" customHeight="1">
      <c r="A861" s="14" t="n"/>
      <c r="B861" s="98" t="inlineStr">
        <is>
          <t>2026-06-07</t>
        </is>
      </c>
      <c r="C861" s="99" t="inlineStr">
        <is>
          <t>CALHOUN COUNTY COMMISS</t>
        </is>
      </c>
      <c r="D861" s="100" t="n">
        <v>89.26000000000001</v>
      </c>
      <c r="E861" s="101">
        <f>IF($C861="","",IFERROR(LOOKUP(2,1/((ISNUMBER(SEARCH('Category Rules'!$B$6:$B$125,$C861)))*('Category Rules'!$B$6:$B$125&lt;&gt;"")),'Category Rules'!$C$6:$C$125),"Uncategorized"))</f>
        <v/>
      </c>
      <c r="F861" s="108" t="n"/>
      <c r="G861" s="103">
        <f>IF($C861="","",IF($F861&lt;&gt;"",$F861,$E861))</f>
        <v/>
      </c>
      <c r="H861" s="85">
        <f>IF($B861="","",TEXT($B861,"mmm yyyy"))</f>
        <v/>
      </c>
    </row>
    <row r="862" ht="18" customHeight="1">
      <c r="A862" s="10" t="n"/>
      <c r="B862" s="98" t="inlineStr">
        <is>
          <t>2026-06-07</t>
        </is>
      </c>
      <c r="C862" s="99" t="inlineStr">
        <is>
          <t>PIC'N SAVE #248</t>
        </is>
      </c>
      <c r="D862" s="100" t="n">
        <v>1.97</v>
      </c>
      <c r="E862" s="104">
        <f>IF($C862="","",IFERROR(LOOKUP(2,1/((ISNUMBER(SEARCH('Category Rules'!$B$6:$B$125,$C862)))*('Category Rules'!$B$6:$B$125&lt;&gt;"")),'Category Rules'!$C$6:$C$125),"Uncategorized"))</f>
        <v/>
      </c>
      <c r="F862" s="108" t="n"/>
      <c r="G862" s="106">
        <f>IF($C862="","",IF($F862&lt;&gt;"",$F862,$E862))</f>
        <v/>
      </c>
      <c r="H862" s="82">
        <f>IF($B862="","",TEXT($B862,"mmm yyyy"))</f>
        <v/>
      </c>
    </row>
    <row r="863" ht="18" customHeight="1">
      <c r="A863" s="14" t="n"/>
      <c r="B863" s="98" t="inlineStr">
        <is>
          <t>2026-06-07</t>
        </is>
      </c>
      <c r="C863" s="99" t="inlineStr">
        <is>
          <t>PIC'N SAVE #248</t>
        </is>
      </c>
      <c r="D863" s="100" t="n">
        <v>2.37</v>
      </c>
      <c r="E863" s="101">
        <f>IF($C863="","",IFERROR(LOOKUP(2,1/((ISNUMBER(SEARCH('Category Rules'!$B$6:$B$125,$C863)))*('Category Rules'!$B$6:$B$125&lt;&gt;"")),'Category Rules'!$C$6:$C$125),"Uncategorized"))</f>
        <v/>
      </c>
      <c r="F863" s="108" t="n"/>
      <c r="G863" s="103">
        <f>IF($C863="","",IF($F863&lt;&gt;"",$F863,$E863))</f>
        <v/>
      </c>
      <c r="H863" s="85">
        <f>IF($B863="","",TEXT($B863,"mmm yyyy"))</f>
        <v/>
      </c>
    </row>
    <row r="864" ht="18" customHeight="1">
      <c r="A864" s="10" t="n"/>
      <c r="B864" s="98" t="inlineStr">
        <is>
          <t>2026-06-08</t>
        </is>
      </c>
      <c r="C864" s="99" t="inlineStr">
        <is>
          <t>WAL-MART #0300</t>
        </is>
      </c>
      <c r="D864" s="100" t="n">
        <v>12.02</v>
      </c>
      <c r="E864" s="104">
        <f>IF($C864="","",IFERROR(LOOKUP(2,1/((ISNUMBER(SEARCH('Category Rules'!$B$6:$B$125,$C864)))*('Category Rules'!$B$6:$B$125&lt;&gt;"")),'Category Rules'!$C$6:$C$125),"Uncategorized"))</f>
        <v/>
      </c>
      <c r="F864" s="108" t="n"/>
      <c r="G864" s="106">
        <f>IF($C864="","",IF($F864&lt;&gt;"",$F864,$E864))</f>
        <v/>
      </c>
      <c r="H864" s="82">
        <f>IF($B864="","",TEXT($B864,"mmm yyyy"))</f>
        <v/>
      </c>
    </row>
    <row r="865" ht="18" customHeight="1">
      <c r="A865" s="14" t="n"/>
      <c r="B865" s="98" t="inlineStr">
        <is>
          <t>2026-06-08</t>
        </is>
      </c>
      <c r="C865" s="99" t="inlineStr">
        <is>
          <t>DORSEY'S SUPERM</t>
        </is>
      </c>
      <c r="D865" s="100" t="n">
        <v>2.92</v>
      </c>
      <c r="E865" s="101">
        <f>IF($C865="","",IFERROR(LOOKUP(2,1/((ISNUMBER(SEARCH('Category Rules'!$B$6:$B$125,$C865)))*('Category Rules'!$B$6:$B$125&lt;&gt;"")),'Category Rules'!$C$6:$C$125),"Uncategorized"))</f>
        <v/>
      </c>
      <c r="F865" s="108" t="n"/>
      <c r="G865" s="103">
        <f>IF($C865="","",IF($F865&lt;&gt;"",$F865,$E865))</f>
        <v/>
      </c>
      <c r="H865" s="85">
        <f>IF($B865="","",TEXT($B865,"mmm yyyy"))</f>
        <v/>
      </c>
    </row>
    <row r="866" ht="18" customHeight="1">
      <c r="A866" s="10" t="n"/>
      <c r="B866" s="98" t="inlineStr">
        <is>
          <t>2026-06-08</t>
        </is>
      </c>
      <c r="C866" s="99" t="inlineStr">
        <is>
          <t>CASH APP*OSCAR ORTIZ</t>
        </is>
      </c>
      <c r="D866" s="100" t="n">
        <v>12</v>
      </c>
      <c r="E866" s="104">
        <f>IF($C866="","",IFERROR(LOOKUP(2,1/((ISNUMBER(SEARCH('Category Rules'!$B$6:$B$125,$C866)))*('Category Rules'!$B$6:$B$125&lt;&gt;"")),'Category Rules'!$C$6:$C$125),"Uncategorized"))</f>
        <v/>
      </c>
      <c r="F866" s="108" t="n"/>
      <c r="G866" s="106">
        <f>IF($C866="","",IF($F866&lt;&gt;"",$F866,$E866))</f>
        <v/>
      </c>
      <c r="H866" s="82">
        <f>IF($B866="","",TEXT($B866,"mmm yyyy"))</f>
        <v/>
      </c>
    </row>
    <row r="867" ht="18" customHeight="1">
      <c r="A867" s="14" t="n"/>
      <c r="B867" s="98" t="inlineStr">
        <is>
          <t>2026-06-08</t>
        </is>
      </c>
      <c r="C867" s="99" t="inlineStr">
        <is>
          <t>JACK'S #200</t>
        </is>
      </c>
      <c r="D867" s="100" t="n">
        <v>8.34</v>
      </c>
      <c r="E867" s="101">
        <f>IF($C867="","",IFERROR(LOOKUP(2,1/((ISNUMBER(SEARCH('Category Rules'!$B$6:$B$125,$C867)))*('Category Rules'!$B$6:$B$125&lt;&gt;"")),'Category Rules'!$C$6:$C$125),"Uncategorized"))</f>
        <v/>
      </c>
      <c r="F867" s="108" t="n"/>
      <c r="G867" s="103">
        <f>IF($C867="","",IF($F867&lt;&gt;"",$F867,$E867))</f>
        <v/>
      </c>
      <c r="H867" s="85">
        <f>IF($B867="","",TEXT($B867,"mmm yyyy"))</f>
        <v/>
      </c>
    </row>
    <row r="868" ht="18" customHeight="1">
      <c r="A868" s="10" t="n"/>
      <c r="B868" s="98" t="inlineStr">
        <is>
          <t>2026-06-08</t>
        </is>
      </c>
      <c r="C868" s="99" t="inlineStr">
        <is>
          <t>SANTIKOS AMSTAR OXF</t>
        </is>
      </c>
      <c r="D868" s="100" t="n">
        <v>20.69</v>
      </c>
      <c r="E868" s="104">
        <f>IF($C868="","",IFERROR(LOOKUP(2,1/((ISNUMBER(SEARCH('Category Rules'!$B$6:$B$125,$C868)))*('Category Rules'!$B$6:$B$125&lt;&gt;"")),'Category Rules'!$C$6:$C$125),"Uncategorized"))</f>
        <v/>
      </c>
      <c r="F868" s="108" t="n"/>
      <c r="G868" s="106">
        <f>IF($C868="","",IF($F868&lt;&gt;"",$F868,$E868))</f>
        <v/>
      </c>
      <c r="H868" s="82">
        <f>IF($B868="","",TEXT($B868,"mmm yyyy"))</f>
        <v/>
      </c>
    </row>
    <row r="869" ht="18" customHeight="1">
      <c r="A869" s="14" t="n"/>
      <c r="B869" s="98" t="inlineStr">
        <is>
          <t>2026-06-08</t>
        </is>
      </c>
      <c r="C869" s="99" t="inlineStr">
        <is>
          <t>JACK'S #200</t>
        </is>
      </c>
      <c r="D869" s="100" t="n">
        <v>7.69</v>
      </c>
      <c r="E869" s="101">
        <f>IF($C869="","",IFERROR(LOOKUP(2,1/((ISNUMBER(SEARCH('Category Rules'!$B$6:$B$125,$C869)))*('Category Rules'!$B$6:$B$125&lt;&gt;"")),'Category Rules'!$C$6:$C$125),"Uncategorized"))</f>
        <v/>
      </c>
      <c r="F869" s="108" t="n"/>
      <c r="G869" s="103">
        <f>IF($C869="","",IF($F869&lt;&gt;"",$F869,$E869))</f>
        <v/>
      </c>
      <c r="H869" s="85">
        <f>IF($B869="","",TEXT($B869,"mmm yyyy"))</f>
        <v/>
      </c>
    </row>
    <row r="870" ht="18" customHeight="1">
      <c r="A870" s="10" t="n"/>
      <c r="B870" s="98" t="inlineStr">
        <is>
          <t>2026-06-08</t>
        </is>
      </c>
      <c r="C870" s="99" t="inlineStr">
        <is>
          <t>PIC'N SAVE #248</t>
        </is>
      </c>
      <c r="D870" s="100" t="n">
        <v>2.37</v>
      </c>
      <c r="E870" s="104">
        <f>IF($C870="","",IFERROR(LOOKUP(2,1/((ISNUMBER(SEARCH('Category Rules'!$B$6:$B$125,$C870)))*('Category Rules'!$B$6:$B$125&lt;&gt;"")),'Category Rules'!$C$6:$C$125),"Uncategorized"))</f>
        <v/>
      </c>
      <c r="F870" s="108" t="n"/>
      <c r="G870" s="106">
        <f>IF($C870="","",IF($F870&lt;&gt;"",$F870,$E870))</f>
        <v/>
      </c>
      <c r="H870" s="82">
        <f>IF($B870="","",TEXT($B870,"mmm yyyy"))</f>
        <v/>
      </c>
    </row>
    <row r="871" ht="18" customHeight="1">
      <c r="A871" s="14" t="n"/>
      <c r="B871" s="98" t="inlineStr">
        <is>
          <t>2026-06-08</t>
        </is>
      </c>
      <c r="C871" s="99" t="inlineStr">
        <is>
          <t>AMEX EPAYMENT</t>
        </is>
      </c>
      <c r="D871" s="100" t="n">
        <v>67.23999999999999</v>
      </c>
      <c r="E871" s="101">
        <f>IF($C871="","",IFERROR(LOOKUP(2,1/((ISNUMBER(SEARCH('Category Rules'!$B$6:$B$125,$C871)))*('Category Rules'!$B$6:$B$125&lt;&gt;"")),'Category Rules'!$C$6:$C$125),"Uncategorized"))</f>
        <v/>
      </c>
      <c r="F871" s="108" t="n"/>
      <c r="G871" s="103">
        <f>IF($C871="","",IF($F871&lt;&gt;"",$F871,$E871))</f>
        <v/>
      </c>
      <c r="H871" s="85">
        <f>IF($B871="","",TEXT($B871,"mmm yyyy"))</f>
        <v/>
      </c>
    </row>
    <row r="872" ht="18" customHeight="1">
      <c r="A872" s="10" t="n"/>
      <c r="B872" s="98" t="inlineStr">
        <is>
          <t>2026-06-09</t>
        </is>
      </c>
      <c r="C872" s="99" t="inlineStr">
        <is>
          <t>DORSEY'S SUPERM</t>
        </is>
      </c>
      <c r="D872" s="100" t="n">
        <v>7.58</v>
      </c>
      <c r="E872" s="104">
        <f>IF($C872="","",IFERROR(LOOKUP(2,1/((ISNUMBER(SEARCH('Category Rules'!$B$6:$B$125,$C872)))*('Category Rules'!$B$6:$B$125&lt;&gt;"")),'Category Rules'!$C$6:$C$125),"Uncategorized"))</f>
        <v/>
      </c>
      <c r="F872" s="108" t="n"/>
      <c r="G872" s="106">
        <f>IF($C872="","",IF($F872&lt;&gt;"",$F872,$E872))</f>
        <v/>
      </c>
      <c r="H872" s="82">
        <f>IF($B872="","",TEXT($B872,"mmm yyyy"))</f>
        <v/>
      </c>
    </row>
    <row r="873" ht="18" customHeight="1">
      <c r="A873" s="14" t="n"/>
      <c r="B873" s="98" t="inlineStr">
        <is>
          <t>2026-06-09</t>
        </is>
      </c>
      <c r="C873" s="99" t="inlineStr">
        <is>
          <t>PIC'N SAVE #248</t>
        </is>
      </c>
      <c r="D873" s="100" t="n">
        <v>7.89</v>
      </c>
      <c r="E873" s="101">
        <f>IF($C873="","",IFERROR(LOOKUP(2,1/((ISNUMBER(SEARCH('Category Rules'!$B$6:$B$125,$C873)))*('Category Rules'!$B$6:$B$125&lt;&gt;"")),'Category Rules'!$C$6:$C$125),"Uncategorized"))</f>
        <v/>
      </c>
      <c r="F873" s="108" t="n"/>
      <c r="G873" s="103">
        <f>IF($C873="","",IF($F873&lt;&gt;"",$F873,$E873))</f>
        <v/>
      </c>
      <c r="H873" s="85">
        <f>IF($B873="","",TEXT($B873,"mmm yyyy"))</f>
        <v/>
      </c>
    </row>
    <row r="874" ht="18" customHeight="1">
      <c r="A874" s="10" t="n"/>
      <c r="B874" s="98" t="inlineStr">
        <is>
          <t>2026-06-09</t>
        </is>
      </c>
      <c r="C874" s="99" t="inlineStr">
        <is>
          <t>PIC'N SAVE #248</t>
        </is>
      </c>
      <c r="D874" s="100" t="n">
        <v>1.97</v>
      </c>
      <c r="E874" s="104">
        <f>IF($C874="","",IFERROR(LOOKUP(2,1/((ISNUMBER(SEARCH('Category Rules'!$B$6:$B$125,$C874)))*('Category Rules'!$B$6:$B$125&lt;&gt;"")),'Category Rules'!$C$6:$C$125),"Uncategorized"))</f>
        <v/>
      </c>
      <c r="F874" s="108" t="n"/>
      <c r="G874" s="106">
        <f>IF($C874="","",IF($F874&lt;&gt;"",$F874,$E874))</f>
        <v/>
      </c>
      <c r="H874" s="82">
        <f>IF($B874="","",TEXT($B874,"mmm yyyy"))</f>
        <v/>
      </c>
    </row>
    <row r="875" ht="18" customHeight="1">
      <c r="A875" s="14" t="n"/>
      <c r="B875" s="98" t="inlineStr">
        <is>
          <t>2026-06-09</t>
        </is>
      </c>
      <c r="C875" s="99" t="inlineStr">
        <is>
          <t>PIC'N SAVE #248</t>
        </is>
      </c>
      <c r="D875" s="100" t="n">
        <v>1.01</v>
      </c>
      <c r="E875" s="101">
        <f>IF($C875="","",IFERROR(LOOKUP(2,1/((ISNUMBER(SEARCH('Category Rules'!$B$6:$B$125,$C875)))*('Category Rules'!$B$6:$B$125&lt;&gt;"")),'Category Rules'!$C$6:$C$125),"Uncategorized"))</f>
        <v/>
      </c>
      <c r="F875" s="108" t="n"/>
      <c r="G875" s="103">
        <f>IF($C875="","",IF($F875&lt;&gt;"",$F875,$E875))</f>
        <v/>
      </c>
      <c r="H875" s="85">
        <f>IF($B875="","",TEXT($B875,"mmm yyyy"))</f>
        <v/>
      </c>
    </row>
    <row r="876" ht="18" customHeight="1">
      <c r="A876" s="10" t="n"/>
      <c r="B876" s="98" t="inlineStr">
        <is>
          <t>2026-06-09</t>
        </is>
      </c>
      <c r="C876" s="99" t="inlineStr">
        <is>
          <t>PIC'N SAVE #248</t>
        </is>
      </c>
      <c r="D876" s="100" t="n">
        <v>2.46</v>
      </c>
      <c r="E876" s="104">
        <f>IF($C876="","",IFERROR(LOOKUP(2,1/((ISNUMBER(SEARCH('Category Rules'!$B$6:$B$125,$C876)))*('Category Rules'!$B$6:$B$125&lt;&gt;"")),'Category Rules'!$C$6:$C$125),"Uncategorized"))</f>
        <v/>
      </c>
      <c r="F876" s="108" t="n"/>
      <c r="G876" s="106">
        <f>IF($C876="","",IF($F876&lt;&gt;"",$F876,$E876))</f>
        <v/>
      </c>
      <c r="H876" s="82">
        <f>IF($B876="","",TEXT($B876,"mmm yyyy"))</f>
        <v/>
      </c>
    </row>
    <row r="877" ht="18" customHeight="1">
      <c r="A877" s="14" t="n"/>
      <c r="B877" s="98" t="inlineStr">
        <is>
          <t>2026-06-10</t>
        </is>
      </c>
      <c r="C877" s="99" t="inlineStr">
        <is>
          <t>HT EXPRESS 4</t>
        </is>
      </c>
      <c r="D877" s="100" t="n">
        <v>6.04</v>
      </c>
      <c r="E877" s="101">
        <f>IF($C877="","",IFERROR(LOOKUP(2,1/((ISNUMBER(SEARCH('Category Rules'!$B$6:$B$125,$C877)))*('Category Rules'!$B$6:$B$125&lt;&gt;"")),'Category Rules'!$C$6:$C$125),"Uncategorized"))</f>
        <v/>
      </c>
      <c r="F877" s="108" t="n"/>
      <c r="G877" s="103">
        <f>IF($C877="","",IF($F877&lt;&gt;"",$F877,$E877))</f>
        <v/>
      </c>
      <c r="H877" s="85">
        <f>IF($B877="","",TEXT($B877,"mmm yyyy"))</f>
        <v/>
      </c>
    </row>
    <row r="878" ht="18" customHeight="1">
      <c r="A878" s="10" t="n"/>
      <c r="B878" s="98" t="inlineStr">
        <is>
          <t>2026-06-11</t>
        </is>
      </c>
      <c r="C878" s="99" t="inlineStr">
        <is>
          <t>DOLLAR GENERAL # DG 203</t>
        </is>
      </c>
      <c r="D878" s="100" t="n">
        <v>4.72</v>
      </c>
      <c r="E878" s="104">
        <f>IF($C878="","",IFERROR(LOOKUP(2,1/((ISNUMBER(SEARCH('Category Rules'!$B$6:$B$125,$C878)))*('Category Rules'!$B$6:$B$125&lt;&gt;"")),'Category Rules'!$C$6:$C$125),"Uncategorized"))</f>
        <v/>
      </c>
      <c r="F878" s="108" t="n"/>
      <c r="G878" s="106">
        <f>IF($C878="","",IF($F878&lt;&gt;"",$F878,$E878))</f>
        <v/>
      </c>
      <c r="H878" s="82">
        <f>IF($B878="","",TEXT($B878,"mmm yyyy"))</f>
        <v/>
      </c>
    </row>
    <row r="879" ht="18" customHeight="1">
      <c r="A879" s="14" t="n"/>
      <c r="B879" s="98" t="inlineStr">
        <is>
          <t>2026-06-11</t>
        </is>
      </c>
      <c r="C879" s="99" t="inlineStr">
        <is>
          <t>DOLLAR GENERAL # DG 304</t>
        </is>
      </c>
      <c r="D879" s="100" t="n">
        <v>6.7</v>
      </c>
      <c r="E879" s="101">
        <f>IF($C879="","",IFERROR(LOOKUP(2,1/((ISNUMBER(SEARCH('Category Rules'!$B$6:$B$125,$C879)))*('Category Rules'!$B$6:$B$125&lt;&gt;"")),'Category Rules'!$C$6:$C$125),"Uncategorized"))</f>
        <v/>
      </c>
      <c r="F879" s="108" t="n"/>
      <c r="G879" s="103">
        <f>IF($C879="","",IF($F879&lt;&gt;"",$F879,$E879))</f>
        <v/>
      </c>
      <c r="H879" s="85">
        <f>IF($B879="","",TEXT($B879,"mmm yyyy"))</f>
        <v/>
      </c>
    </row>
    <row r="880" ht="18" customHeight="1">
      <c r="A880" s="10" t="n"/>
      <c r="B880" s="98" t="inlineStr">
        <is>
          <t>2026-06-11</t>
        </is>
      </c>
      <c r="C880" s="99" t="inlineStr">
        <is>
          <t>VENMO *Melissa O'Brie</t>
        </is>
      </c>
      <c r="D880" s="100" t="n">
        <v>48.23</v>
      </c>
      <c r="E880" s="104">
        <f>IF($C880="","",IFERROR(LOOKUP(2,1/((ISNUMBER(SEARCH('Category Rules'!$B$6:$B$125,$C880)))*('Category Rules'!$B$6:$B$125&lt;&gt;"")),'Category Rules'!$C$6:$C$125),"Uncategorized"))</f>
        <v/>
      </c>
      <c r="F880" s="108" t="n"/>
      <c r="G880" s="106">
        <f>IF($C880="","",IF($F880&lt;&gt;"",$F880,$E880))</f>
        <v/>
      </c>
      <c r="H880" s="82">
        <f>IF($B880="","",TEXT($B880,"mmm yyyy"))</f>
        <v/>
      </c>
    </row>
    <row r="881" ht="18" customHeight="1">
      <c r="A881" s="14" t="n"/>
      <c r="B881" s="98" t="inlineStr">
        <is>
          <t>2026-06-12</t>
        </is>
      </c>
      <c r="C881" s="99" t="inlineStr">
        <is>
          <t>CIRCLE K # 09309 22 CH</t>
        </is>
      </c>
      <c r="D881" s="100" t="n">
        <v>91.31</v>
      </c>
      <c r="E881" s="101">
        <f>IF($C881="","",IFERROR(LOOKUP(2,1/((ISNUMBER(SEARCH('Category Rules'!$B$6:$B$125,$C881)))*('Category Rules'!$B$6:$B$125&lt;&gt;"")),'Category Rules'!$C$6:$C$125),"Uncategorized"))</f>
        <v/>
      </c>
      <c r="F881" s="108" t="n"/>
      <c r="G881" s="103">
        <f>IF($C881="","",IF($F881&lt;&gt;"",$F881,$E881))</f>
        <v/>
      </c>
      <c r="H881" s="85">
        <f>IF($B881="","",TEXT($B881,"mmm yyyy"))</f>
        <v/>
      </c>
    </row>
    <row r="882" ht="18" customHeight="1">
      <c r="A882" s="10" t="n"/>
      <c r="B882" s="98" t="inlineStr">
        <is>
          <t>2026-06-12</t>
        </is>
      </c>
      <c r="C882" s="99" t="inlineStr">
        <is>
          <t>W. M. GROCERY</t>
        </is>
      </c>
      <c r="D882" s="100" t="n">
        <v>2.11</v>
      </c>
      <c r="E882" s="104">
        <f>IF($C882="","",IFERROR(LOOKUP(2,1/((ISNUMBER(SEARCH('Category Rules'!$B$6:$B$125,$C882)))*('Category Rules'!$B$6:$B$125&lt;&gt;"")),'Category Rules'!$C$6:$C$125),"Uncategorized"))</f>
        <v/>
      </c>
      <c r="F882" s="108" t="n"/>
      <c r="G882" s="106">
        <f>IF($C882="","",IF($F882&lt;&gt;"",$F882,$E882))</f>
        <v/>
      </c>
      <c r="H882" s="82">
        <f>IF($B882="","",TEXT($B882,"mmm yyyy"))</f>
        <v/>
      </c>
    </row>
    <row r="883" ht="18" customHeight="1">
      <c r="A883" s="14" t="n"/>
      <c r="B883" s="98" t="inlineStr">
        <is>
          <t>2026-06-12</t>
        </is>
      </c>
      <c r="C883" s="99" t="inlineStr">
        <is>
          <t>PIGGLY WIGGLY O</t>
        </is>
      </c>
      <c r="D883" s="100" t="n">
        <v>1.75</v>
      </c>
      <c r="E883" s="101">
        <f>IF($C883="","",IFERROR(LOOKUP(2,1/((ISNUMBER(SEARCH('Category Rules'!$B$6:$B$125,$C883)))*('Category Rules'!$B$6:$B$125&lt;&gt;"")),'Category Rules'!$C$6:$C$125),"Uncategorized"))</f>
        <v/>
      </c>
      <c r="F883" s="108" t="n"/>
      <c r="G883" s="103">
        <f>IF($C883="","",IF($F883&lt;&gt;"",$F883,$E883))</f>
        <v/>
      </c>
      <c r="H883" s="85">
        <f>IF($B883="","",TEXT($B883,"mmm yyyy"))</f>
        <v/>
      </c>
    </row>
    <row r="884" ht="18" customHeight="1">
      <c r="A884" s="10" t="n"/>
      <c r="B884" s="98" t="inlineStr">
        <is>
          <t>2026-06-12</t>
        </is>
      </c>
      <c r="C884" s="99" t="inlineStr">
        <is>
          <t>CHEROKEE PINES GOLF</t>
        </is>
      </c>
      <c r="D884" s="100" t="n">
        <v>12</v>
      </c>
      <c r="E884" s="104">
        <f>IF($C884="","",IFERROR(LOOKUP(2,1/((ISNUMBER(SEARCH('Category Rules'!$B$6:$B$125,$C884)))*('Category Rules'!$B$6:$B$125&lt;&gt;"")),'Category Rules'!$C$6:$C$125),"Uncategorized"))</f>
        <v/>
      </c>
      <c r="F884" s="108" t="n"/>
      <c r="G884" s="106">
        <f>IF($C884="","",IF($F884&lt;&gt;"",$F884,$E884))</f>
        <v/>
      </c>
      <c r="H884" s="82">
        <f>IF($B884="","",TEXT($B884,"mmm yyyy"))</f>
        <v/>
      </c>
    </row>
    <row r="885" ht="18" customHeight="1">
      <c r="A885" s="14" t="n"/>
      <c r="B885" s="98" t="inlineStr">
        <is>
          <t>2026-06-12</t>
        </is>
      </c>
      <c r="C885" s="99" t="inlineStr">
        <is>
          <t>CHEROKEE PINES GOLF</t>
        </is>
      </c>
      <c r="D885" s="100" t="n">
        <v>3.5</v>
      </c>
      <c r="E885" s="101">
        <f>IF($C885="","",IFERROR(LOOKUP(2,1/((ISNUMBER(SEARCH('Category Rules'!$B$6:$B$125,$C885)))*('Category Rules'!$B$6:$B$125&lt;&gt;"")),'Category Rules'!$C$6:$C$125),"Uncategorized"))</f>
        <v/>
      </c>
      <c r="F885" s="108" t="n"/>
      <c r="G885" s="103">
        <f>IF($C885="","",IF($F885&lt;&gt;"",$F885,$E885))</f>
        <v/>
      </c>
      <c r="H885" s="85">
        <f>IF($B885="","",TEXT($B885,"mmm yyyy"))</f>
        <v/>
      </c>
    </row>
    <row r="886" ht="18" customHeight="1">
      <c r="A886" s="10" t="n"/>
      <c r="B886" s="98" t="inlineStr">
        <is>
          <t>2026-06-12</t>
        </is>
      </c>
      <c r="C886" s="99" t="inlineStr">
        <is>
          <t>WHATABURGER 1492</t>
        </is>
      </c>
      <c r="D886" s="100" t="n">
        <v>16.49</v>
      </c>
      <c r="E886" s="104">
        <f>IF($C886="","",IFERROR(LOOKUP(2,1/((ISNUMBER(SEARCH('Category Rules'!$B$6:$B$125,$C886)))*('Category Rules'!$B$6:$B$125&lt;&gt;"")),'Category Rules'!$C$6:$C$125),"Uncategorized"))</f>
        <v/>
      </c>
      <c r="F886" s="108" t="n"/>
      <c r="G886" s="106">
        <f>IF($C886="","",IF($F886&lt;&gt;"",$F886,$E886))</f>
        <v/>
      </c>
      <c r="H886" s="82">
        <f>IF($B886="","",TEXT($B886,"mmm yyyy"))</f>
        <v/>
      </c>
    </row>
    <row r="887" ht="18" customHeight="1">
      <c r="A887" s="14" t="n"/>
      <c r="B887" s="98" t="inlineStr">
        <is>
          <t>2026-06-12</t>
        </is>
      </c>
      <c r="C887" s="99" t="inlineStr">
        <is>
          <t>CHEROKEE PINES GOLF</t>
        </is>
      </c>
      <c r="D887" s="100" t="n">
        <v>44</v>
      </c>
      <c r="E887" s="101">
        <f>IF($C887="","",IFERROR(LOOKUP(2,1/((ISNUMBER(SEARCH('Category Rules'!$B$6:$B$125,$C887)))*('Category Rules'!$B$6:$B$125&lt;&gt;"")),'Category Rules'!$C$6:$C$125),"Uncategorized"))</f>
        <v/>
      </c>
      <c r="F887" s="108" t="n"/>
      <c r="G887" s="103">
        <f>IF($C887="","",IF($F887&lt;&gt;"",$F887,$E887))</f>
        <v/>
      </c>
      <c r="H887" s="85">
        <f>IF($B887="","",TEXT($B887,"mmm yyyy"))</f>
        <v/>
      </c>
    </row>
    <row r="888" ht="18" customHeight="1">
      <c r="A888" s="10" t="n"/>
      <c r="B888" s="98" t="inlineStr">
        <is>
          <t>2026-06-12</t>
        </is>
      </c>
      <c r="C888" s="99" t="inlineStr">
        <is>
          <t>Alabama Power</t>
        </is>
      </c>
      <c r="D888" s="100" t="n">
        <v>220.59</v>
      </c>
      <c r="E888" s="104">
        <f>IF($C888="","",IFERROR(LOOKUP(2,1/((ISNUMBER(SEARCH('Category Rules'!$B$6:$B$125,$C888)))*('Category Rules'!$B$6:$B$125&lt;&gt;"")),'Category Rules'!$C$6:$C$125),"Uncategorized"))</f>
        <v/>
      </c>
      <c r="F888" s="108" t="n"/>
      <c r="G888" s="106">
        <f>IF($C888="","",IF($F888&lt;&gt;"",$F888,$E888))</f>
        <v/>
      </c>
      <c r="H888" s="82">
        <f>IF($B888="","",TEXT($B888,"mmm yyyy"))</f>
        <v/>
      </c>
    </row>
    <row r="889" ht="18" customHeight="1">
      <c r="A889" s="14" t="n"/>
      <c r="B889" s="98" t="inlineStr">
        <is>
          <t>2026-06-13</t>
        </is>
      </c>
      <c r="C889" s="99" t="inlineStr">
        <is>
          <t>POPS LANDING</t>
        </is>
      </c>
      <c r="D889" s="100" t="n">
        <v>5.63</v>
      </c>
      <c r="E889" s="101">
        <f>IF($C889="","",IFERROR(LOOKUP(2,1/((ISNUMBER(SEARCH('Category Rules'!$B$6:$B$125,$C889)))*('Category Rules'!$B$6:$B$125&lt;&gt;"")),'Category Rules'!$C$6:$C$125),"Uncategorized"))</f>
        <v/>
      </c>
      <c r="F889" s="108" t="n"/>
      <c r="G889" s="103">
        <f>IF($C889="","",IF($F889&lt;&gt;"",$F889,$E889))</f>
        <v/>
      </c>
      <c r="H889" s="85">
        <f>IF($B889="","",TEXT($B889,"mmm yyyy"))</f>
        <v/>
      </c>
    </row>
    <row r="890" ht="18" customHeight="1">
      <c r="A890" s="10" t="n"/>
      <c r="B890" s="98" t="inlineStr">
        <is>
          <t>2026-06-13</t>
        </is>
      </c>
      <c r="C890" s="99" t="inlineStr">
        <is>
          <t>W. M. GROCERY</t>
        </is>
      </c>
      <c r="D890" s="100" t="n">
        <v>13.65</v>
      </c>
      <c r="E890" s="104">
        <f>IF($C890="","",IFERROR(LOOKUP(2,1/((ISNUMBER(SEARCH('Category Rules'!$B$6:$B$125,$C890)))*('Category Rules'!$B$6:$B$125&lt;&gt;"")),'Category Rules'!$C$6:$C$125),"Uncategorized"))</f>
        <v/>
      </c>
      <c r="F890" s="108" t="n"/>
      <c r="G890" s="106">
        <f>IF($C890="","",IF($F890&lt;&gt;"",$F890,$E890))</f>
        <v/>
      </c>
      <c r="H890" s="82">
        <f>IF($B890="","",TEXT($B890,"mmm yyyy"))</f>
        <v/>
      </c>
    </row>
    <row r="891" ht="18" customHeight="1">
      <c r="A891" s="14" t="n"/>
      <c r="B891" s="98" t="inlineStr">
        <is>
          <t>2026-06-13</t>
        </is>
      </c>
      <c r="C891" s="99" t="inlineStr">
        <is>
          <t>PIGGLY WIGGLY O</t>
        </is>
      </c>
      <c r="D891" s="100" t="n">
        <v>16.88</v>
      </c>
      <c r="E891" s="101">
        <f>IF($C891="","",IFERROR(LOOKUP(2,1/((ISNUMBER(SEARCH('Category Rules'!$B$6:$B$125,$C891)))*('Category Rules'!$B$6:$B$125&lt;&gt;"")),'Category Rules'!$C$6:$C$125),"Uncategorized"))</f>
        <v/>
      </c>
      <c r="F891" s="108" t="n"/>
      <c r="G891" s="103">
        <f>IF($C891="","",IF($F891&lt;&gt;"",$F891,$E891))</f>
        <v/>
      </c>
      <c r="H891" s="85">
        <f>IF($B891="","",TEXT($B891,"mmm yyyy"))</f>
        <v/>
      </c>
    </row>
    <row r="892" ht="18" customHeight="1">
      <c r="A892" s="10" t="n"/>
      <c r="B892" s="98" t="inlineStr">
        <is>
          <t>2026-06-13</t>
        </is>
      </c>
      <c r="C892" s="99" t="inlineStr">
        <is>
          <t>JEFFERSON'S OF JACKSON</t>
        </is>
      </c>
      <c r="D892" s="100" t="n">
        <v>29.9</v>
      </c>
      <c r="E892" s="104">
        <f>IF($C892="","",IFERROR(LOOKUP(2,1/((ISNUMBER(SEARCH('Category Rules'!$B$6:$B$125,$C892)))*('Category Rules'!$B$6:$B$125&lt;&gt;"")),'Category Rules'!$C$6:$C$125),"Uncategorized"))</f>
        <v/>
      </c>
      <c r="F892" s="108" t="n"/>
      <c r="G892" s="106">
        <f>IF($C892="","",IF($F892&lt;&gt;"",$F892,$E892))</f>
        <v/>
      </c>
      <c r="H892" s="82">
        <f>IF($B892="","",TEXT($B892,"mmm yyyy"))</f>
        <v/>
      </c>
    </row>
    <row r="893" ht="18" customHeight="1">
      <c r="A893" s="14" t="n"/>
      <c r="B893" s="98" t="inlineStr">
        <is>
          <t>2026-06-13</t>
        </is>
      </c>
      <c r="C893" s="99" t="inlineStr">
        <is>
          <t>JACKSONVILLE HOME CTR</t>
        </is>
      </c>
      <c r="D893" s="100" t="n">
        <v>10.55</v>
      </c>
      <c r="E893" s="101">
        <f>IF($C893="","",IFERROR(LOOKUP(2,1/((ISNUMBER(SEARCH('Category Rules'!$B$6:$B$125,$C893)))*('Category Rules'!$B$6:$B$125&lt;&gt;"")),'Category Rules'!$C$6:$C$125),"Uncategorized"))</f>
        <v/>
      </c>
      <c r="F893" s="108" t="n"/>
      <c r="G893" s="103">
        <f>IF($C893="","",IF($F893&lt;&gt;"",$F893,$E893))</f>
        <v/>
      </c>
      <c r="H893" s="85">
        <f>IF($B893="","",TEXT($B893,"mmm yyyy"))</f>
        <v/>
      </c>
    </row>
    <row r="894" ht="18" customHeight="1">
      <c r="A894" s="10" t="n"/>
      <c r="B894" s="98" t="inlineStr">
        <is>
          <t>2026-06-13</t>
        </is>
      </c>
      <c r="C894" s="99" t="inlineStr">
        <is>
          <t>W. M. GROCERY</t>
        </is>
      </c>
      <c r="D894" s="100" t="n">
        <v>2.85</v>
      </c>
      <c r="E894" s="104">
        <f>IF($C894="","",IFERROR(LOOKUP(2,1/((ISNUMBER(SEARCH('Category Rules'!$B$6:$B$125,$C894)))*('Category Rules'!$B$6:$B$125&lt;&gt;"")),'Category Rules'!$C$6:$C$125),"Uncategorized"))</f>
        <v/>
      </c>
      <c r="F894" s="108" t="n"/>
      <c r="G894" s="106">
        <f>IF($C894="","",IF($F894&lt;&gt;"",$F894,$E894))</f>
        <v/>
      </c>
      <c r="H894" s="82">
        <f>IF($B894="","",TEXT($B894,"mmm yyyy"))</f>
        <v/>
      </c>
    </row>
    <row r="895" ht="18" customHeight="1">
      <c r="A895" s="14" t="n"/>
      <c r="B895" s="98" t="inlineStr">
        <is>
          <t>2026-06-14</t>
        </is>
      </c>
      <c r="C895" s="99" t="inlineStr">
        <is>
          <t>PIC'N SAVE #248</t>
        </is>
      </c>
      <c r="D895" s="100" t="n">
        <v>6.21</v>
      </c>
      <c r="E895" s="101">
        <f>IF($C895="","",IFERROR(LOOKUP(2,1/((ISNUMBER(SEARCH('Category Rules'!$B$6:$B$125,$C895)))*('Category Rules'!$B$6:$B$125&lt;&gt;"")),'Category Rules'!$C$6:$C$125),"Uncategorized"))</f>
        <v/>
      </c>
      <c r="F895" s="108" t="n"/>
      <c r="G895" s="103">
        <f>IF($C895="","",IF($F895&lt;&gt;"",$F895,$E895))</f>
        <v/>
      </c>
      <c r="H895" s="85">
        <f>IF($B895="","",TEXT($B895,"mmm yyyy"))</f>
        <v/>
      </c>
    </row>
    <row r="896" ht="18" customHeight="1">
      <c r="A896" s="10" t="n"/>
      <c r="B896" s="98" t="inlineStr">
        <is>
          <t>2026-06-14</t>
        </is>
      </c>
      <c r="C896" s="99" t="inlineStr">
        <is>
          <t>PIC'N SAVE #248</t>
        </is>
      </c>
      <c r="D896" s="100" t="n">
        <v>2.46</v>
      </c>
      <c r="E896" s="104">
        <f>IF($C896="","",IFERROR(LOOKUP(2,1/((ISNUMBER(SEARCH('Category Rules'!$B$6:$B$125,$C896)))*('Category Rules'!$B$6:$B$125&lt;&gt;"")),'Category Rules'!$C$6:$C$125),"Uncategorized"))</f>
        <v/>
      </c>
      <c r="F896" s="108" t="n"/>
      <c r="G896" s="106">
        <f>IF($C896="","",IF($F896&lt;&gt;"",$F896,$E896))</f>
        <v/>
      </c>
      <c r="H896" s="82">
        <f>IF($B896="","",TEXT($B896,"mmm yyyy"))</f>
        <v/>
      </c>
    </row>
    <row r="897" ht="18" customHeight="1">
      <c r="A897" s="14" t="n"/>
      <c r="B897" s="98" t="inlineStr">
        <is>
          <t>2026-06-15</t>
        </is>
      </c>
      <c r="C897" s="99" t="inlineStr">
        <is>
          <t>DOLLAR GENERAL # DG 304</t>
        </is>
      </c>
      <c r="D897" s="100" t="n">
        <v>14.98</v>
      </c>
      <c r="E897" s="101">
        <f>IF($C897="","",IFERROR(LOOKUP(2,1/((ISNUMBER(SEARCH('Category Rules'!$B$6:$B$125,$C897)))*('Category Rules'!$B$6:$B$125&lt;&gt;"")),'Category Rules'!$C$6:$C$125),"Uncategorized"))</f>
        <v/>
      </c>
      <c r="F897" s="108" t="n"/>
      <c r="G897" s="103">
        <f>IF($C897="","",IF($F897&lt;&gt;"",$F897,$E897))</f>
        <v/>
      </c>
      <c r="H897" s="85">
        <f>IF($B897="","",TEXT($B897,"mmm yyyy"))</f>
        <v/>
      </c>
    </row>
    <row r="898" ht="18" customHeight="1">
      <c r="A898" s="10" t="n"/>
      <c r="B898" s="98" t="inlineStr">
        <is>
          <t>2026-06-15</t>
        </is>
      </c>
      <c r="C898" s="99" t="inlineStr">
        <is>
          <t>PIC'N SAVE #248</t>
        </is>
      </c>
      <c r="D898" s="100" t="n">
        <v>1.97</v>
      </c>
      <c r="E898" s="104">
        <f>IF($C898="","",IFERROR(LOOKUP(2,1/((ISNUMBER(SEARCH('Category Rules'!$B$6:$B$125,$C898)))*('Category Rules'!$B$6:$B$125&lt;&gt;"")),'Category Rules'!$C$6:$C$125),"Uncategorized"))</f>
        <v/>
      </c>
      <c r="F898" s="108" t="n"/>
      <c r="G898" s="106">
        <f>IF($C898="","",IF($F898&lt;&gt;"",$F898,$E898))</f>
        <v/>
      </c>
      <c r="H898" s="82">
        <f>IF($B898="","",TEXT($B898,"mmm yyyy"))</f>
        <v/>
      </c>
    </row>
    <row r="899" ht="18" customHeight="1">
      <c r="A899" s="14" t="n"/>
      <c r="B899" s="98" t="inlineStr">
        <is>
          <t>2026-06-15</t>
        </is>
      </c>
      <c r="C899" s="99" t="inlineStr">
        <is>
          <t>DORSEY'S SUPERM</t>
        </is>
      </c>
      <c r="D899" s="100" t="n">
        <v>1.37</v>
      </c>
      <c r="E899" s="101">
        <f>IF($C899="","",IFERROR(LOOKUP(2,1/((ISNUMBER(SEARCH('Category Rules'!$B$6:$B$125,$C899)))*('Category Rules'!$B$6:$B$125&lt;&gt;"")),'Category Rules'!$C$6:$C$125),"Uncategorized"))</f>
        <v/>
      </c>
      <c r="F899" s="108" t="n"/>
      <c r="G899" s="103">
        <f>IF($C899="","",IF($F899&lt;&gt;"",$F899,$E899))</f>
        <v/>
      </c>
      <c r="H899" s="85">
        <f>IF($B899="","",TEXT($B899,"mmm yyyy"))</f>
        <v/>
      </c>
    </row>
    <row r="900" ht="18" customHeight="1">
      <c r="A900" s="10" t="n"/>
      <c r="B900" s="98" t="inlineStr">
        <is>
          <t>2026-06-15</t>
        </is>
      </c>
      <c r="C900" s="99" t="inlineStr">
        <is>
          <t>CIRCLE K # 09321 88810</t>
        </is>
      </c>
      <c r="D900" s="100" t="n">
        <v>14.06</v>
      </c>
      <c r="E900" s="104">
        <f>IF($C900="","",IFERROR(LOOKUP(2,1/((ISNUMBER(SEARCH('Category Rules'!$B$6:$B$125,$C900)))*('Category Rules'!$B$6:$B$125&lt;&gt;"")),'Category Rules'!$C$6:$C$125),"Uncategorized"))</f>
        <v/>
      </c>
      <c r="F900" s="108" t="n"/>
      <c r="G900" s="106">
        <f>IF($C900="","",IF($F900&lt;&gt;"",$F900,$E900))</f>
        <v/>
      </c>
      <c r="H900" s="82">
        <f>IF($B900="","",TEXT($B900,"mmm yyyy"))</f>
        <v/>
      </c>
    </row>
    <row r="901" ht="18" customHeight="1">
      <c r="A901" s="14" t="n"/>
      <c r="B901" s="98" t="inlineStr">
        <is>
          <t>2026-06-15</t>
        </is>
      </c>
      <c r="C901" s="99" t="inlineStr">
        <is>
          <t>JACK'S #203</t>
        </is>
      </c>
      <c r="D901" s="100" t="n">
        <v>9.25</v>
      </c>
      <c r="E901" s="101">
        <f>IF($C901="","",IFERROR(LOOKUP(2,1/((ISNUMBER(SEARCH('Category Rules'!$B$6:$B$125,$C901)))*('Category Rules'!$B$6:$B$125&lt;&gt;"")),'Category Rules'!$C$6:$C$125),"Uncategorized"))</f>
        <v/>
      </c>
      <c r="F901" s="108" t="n"/>
      <c r="G901" s="103">
        <f>IF($C901="","",IF($F901&lt;&gt;"",$F901,$E901))</f>
        <v/>
      </c>
      <c r="H901" s="85">
        <f>IF($B901="","",TEXT($B901,"mmm yyyy"))</f>
        <v/>
      </c>
    </row>
    <row r="902" ht="18" customHeight="1">
      <c r="A902" s="10" t="n"/>
      <c r="B902" s="98" t="inlineStr">
        <is>
          <t>2026-06-15</t>
        </is>
      </c>
      <c r="C902" s="99" t="inlineStr">
        <is>
          <t>PIC'N SAVE #248</t>
        </is>
      </c>
      <c r="D902" s="100" t="n">
        <v>2.46</v>
      </c>
      <c r="E902" s="104">
        <f>IF($C902="","",IFERROR(LOOKUP(2,1/((ISNUMBER(SEARCH('Category Rules'!$B$6:$B$125,$C902)))*('Category Rules'!$B$6:$B$125&lt;&gt;"")),'Category Rules'!$C$6:$C$125),"Uncategorized"))</f>
        <v/>
      </c>
      <c r="F902" s="108" t="n"/>
      <c r="G902" s="106">
        <f>IF($C902="","",IF($F902&lt;&gt;"",$F902,$E902))</f>
        <v/>
      </c>
      <c r="H902" s="82">
        <f>IF($B902="","",TEXT($B902,"mmm yyyy"))</f>
        <v/>
      </c>
    </row>
    <row r="903" ht="18" customHeight="1">
      <c r="A903" s="14" t="n"/>
      <c r="B903" s="98" t="inlineStr">
        <is>
          <t>2026-06-16</t>
        </is>
      </c>
      <c r="C903" s="99" t="inlineStr">
        <is>
          <t>DOLLAR GENERAL # DG 304</t>
        </is>
      </c>
      <c r="D903" s="100" t="n">
        <v>6.52</v>
      </c>
      <c r="E903" s="101">
        <f>IF($C903="","",IFERROR(LOOKUP(2,1/((ISNUMBER(SEARCH('Category Rules'!$B$6:$B$125,$C903)))*('Category Rules'!$B$6:$B$125&lt;&gt;"")),'Category Rules'!$C$6:$C$125),"Uncategorized"))</f>
        <v/>
      </c>
      <c r="F903" s="108" t="n"/>
      <c r="G903" s="103">
        <f>IF($C903="","",IF($F903&lt;&gt;"",$F903,$E903))</f>
        <v/>
      </c>
      <c r="H903" s="85">
        <f>IF($B903="","",TEXT($B903,"mmm yyyy"))</f>
        <v/>
      </c>
    </row>
    <row r="904" ht="18" customHeight="1">
      <c r="A904" s="10" t="n"/>
      <c r="B904" s="98" t="inlineStr">
        <is>
          <t>2026-06-16</t>
        </is>
      </c>
      <c r="C904" s="99" t="inlineStr">
        <is>
          <t>MAPCO 5108 706 PELHAM R</t>
        </is>
      </c>
      <c r="D904" s="100" t="n">
        <v>75.76000000000001</v>
      </c>
      <c r="E904" s="104">
        <f>IF($C904="","",IFERROR(LOOKUP(2,1/((ISNUMBER(SEARCH('Category Rules'!$B$6:$B$125,$C904)))*('Category Rules'!$B$6:$B$125&lt;&gt;"")),'Category Rules'!$C$6:$C$125),"Uncategorized"))</f>
        <v/>
      </c>
      <c r="F904" s="108" t="n"/>
      <c r="G904" s="106">
        <f>IF($C904="","",IF($F904&lt;&gt;"",$F904,$E904))</f>
        <v/>
      </c>
      <c r="H904" s="82">
        <f>IF($B904="","",TEXT($B904,"mmm yyyy"))</f>
        <v/>
      </c>
    </row>
    <row r="905" ht="18" customHeight="1">
      <c r="A905" s="14" t="n"/>
      <c r="B905" s="98" t="inlineStr">
        <is>
          <t>2026-06-16</t>
        </is>
      </c>
      <c r="C905" s="99" t="inlineStr">
        <is>
          <t>BREEDS FOOD MAR</t>
        </is>
      </c>
      <c r="D905" s="100" t="n">
        <v>10</v>
      </c>
      <c r="E905" s="101">
        <f>IF($C905="","",IFERROR(LOOKUP(2,1/((ISNUMBER(SEARCH('Category Rules'!$B$6:$B$125,$C905)))*('Category Rules'!$B$6:$B$125&lt;&gt;"")),'Category Rules'!$C$6:$C$125),"Uncategorized"))</f>
        <v/>
      </c>
      <c r="F905" s="108" t="n"/>
      <c r="G905" s="103">
        <f>IF($C905="","",IF($F905&lt;&gt;"",$F905,$E905))</f>
        <v/>
      </c>
      <c r="H905" s="85">
        <f>IF($B905="","",TEXT($B905,"mmm yyyy"))</f>
        <v/>
      </c>
    </row>
    <row r="906" ht="18" customHeight="1">
      <c r="A906" s="10" t="n"/>
      <c r="B906" s="98" t="inlineStr">
        <is>
          <t>2026-06-16</t>
        </is>
      </c>
      <c r="C906" s="99" t="inlineStr">
        <is>
          <t>THE GREEN STORES</t>
        </is>
      </c>
      <c r="D906" s="100" t="n">
        <v>8.550000000000001</v>
      </c>
      <c r="E906" s="104">
        <f>IF($C906="","",IFERROR(LOOKUP(2,1/((ISNUMBER(SEARCH('Category Rules'!$B$6:$B$125,$C906)))*('Category Rules'!$B$6:$B$125&lt;&gt;"")),'Category Rules'!$C$6:$C$125),"Uncategorized"))</f>
        <v/>
      </c>
      <c r="F906" s="108" t="n"/>
      <c r="G906" s="106">
        <f>IF($C906="","",IF($F906&lt;&gt;"",$F906,$E906))</f>
        <v/>
      </c>
      <c r="H906" s="82">
        <f>IF($B906="","",TEXT($B906,"mmm yyyy"))</f>
        <v/>
      </c>
    </row>
    <row r="907" ht="18" customHeight="1">
      <c r="A907" s="14" t="n"/>
      <c r="B907" s="98" t="inlineStr">
        <is>
          <t>2026-06-16</t>
        </is>
      </c>
      <c r="C907" s="99" t="inlineStr">
        <is>
          <t>Bojangles 0914</t>
        </is>
      </c>
      <c r="D907" s="100" t="n">
        <v>13.51</v>
      </c>
      <c r="E907" s="101">
        <f>IF($C907="","",IFERROR(LOOKUP(2,1/((ISNUMBER(SEARCH('Category Rules'!$B$6:$B$125,$C907)))*('Category Rules'!$B$6:$B$125&lt;&gt;"")),'Category Rules'!$C$6:$C$125),"Uncategorized"))</f>
        <v/>
      </c>
      <c r="F907" s="108" t="n"/>
      <c r="G907" s="103">
        <f>IF($C907="","",IF($F907&lt;&gt;"",$F907,$E907))</f>
        <v/>
      </c>
      <c r="H907" s="85">
        <f>IF($B907="","",TEXT($B907,"mmm yyyy"))</f>
        <v/>
      </c>
    </row>
    <row r="908" ht="18" customHeight="1">
      <c r="A908" s="10" t="n"/>
      <c r="B908" s="98" t="inlineStr">
        <is>
          <t>2026-06-16</t>
        </is>
      </c>
      <c r="C908" s="99" t="inlineStr">
        <is>
          <t>JACK'S #200</t>
        </is>
      </c>
      <c r="D908" s="100" t="n">
        <v>8.67</v>
      </c>
      <c r="E908" s="104">
        <f>IF($C908="","",IFERROR(LOOKUP(2,1/((ISNUMBER(SEARCH('Category Rules'!$B$6:$B$125,$C908)))*('Category Rules'!$B$6:$B$125&lt;&gt;"")),'Category Rules'!$C$6:$C$125),"Uncategorized"))</f>
        <v/>
      </c>
      <c r="F908" s="108" t="n"/>
      <c r="G908" s="106">
        <f>IF($C908="","",IF($F908&lt;&gt;"",$F908,$E908))</f>
        <v/>
      </c>
      <c r="H908" s="82">
        <f>IF($B908="","",TEXT($B908,"mmm yyyy"))</f>
        <v/>
      </c>
    </row>
    <row r="909" ht="18" customHeight="1">
      <c r="A909" s="14" t="n"/>
      <c r="B909" s="98" t="inlineStr">
        <is>
          <t>2026-06-16</t>
        </is>
      </c>
      <c r="C909" s="99" t="inlineStr">
        <is>
          <t>PIC'N SAVE #248</t>
        </is>
      </c>
      <c r="D909" s="100" t="n">
        <v>2.46</v>
      </c>
      <c r="E909" s="101">
        <f>IF($C909="","",IFERROR(LOOKUP(2,1/((ISNUMBER(SEARCH('Category Rules'!$B$6:$B$125,$C909)))*('Category Rules'!$B$6:$B$125&lt;&gt;"")),'Category Rules'!$C$6:$C$125),"Uncategorized"))</f>
        <v/>
      </c>
      <c r="F909" s="108" t="n"/>
      <c r="G909" s="103">
        <f>IF($C909="","",IF($F909&lt;&gt;"",$F909,$E909))</f>
        <v/>
      </c>
      <c r="H909" s="85">
        <f>IF($B909="","",TEXT($B909,"mmm yyyy"))</f>
        <v/>
      </c>
    </row>
    <row r="910" ht="18" customHeight="1">
      <c r="A910" s="10" t="n"/>
      <c r="B910" s="98" t="inlineStr">
        <is>
          <t>2026-06-16</t>
        </is>
      </c>
      <c r="C910" s="99" t="inlineStr">
        <is>
          <t>CALHOUN COUNTY W</t>
        </is>
      </c>
      <c r="D910" s="100" t="n">
        <v>166.96</v>
      </c>
      <c r="E910" s="104">
        <f>IF($C910="","",IFERROR(LOOKUP(2,1/((ISNUMBER(SEARCH('Category Rules'!$B$6:$B$125,$C910)))*('Category Rules'!$B$6:$B$125&lt;&gt;"")),'Category Rules'!$C$6:$C$125),"Uncategorized"))</f>
        <v/>
      </c>
      <c r="F910" s="108" t="n"/>
      <c r="G910" s="106">
        <f>IF($C910="","",IF($F910&lt;&gt;"",$F910,$E910))</f>
        <v/>
      </c>
      <c r="H910" s="82">
        <f>IF($B910="","",TEXT($B910,"mmm yyyy"))</f>
        <v/>
      </c>
    </row>
    <row r="911" ht="18" customHeight="1">
      <c r="A911" s="14" t="n"/>
      <c r="B911" s="98" t="inlineStr">
        <is>
          <t>2026-06-17</t>
        </is>
      </c>
      <c r="C911" s="99" t="inlineStr">
        <is>
          <t>TACO BELL #7029147</t>
        </is>
      </c>
      <c r="D911" s="100" t="n">
        <v>8.25</v>
      </c>
      <c r="E911" s="101">
        <f>IF($C911="","",IFERROR(LOOKUP(2,1/((ISNUMBER(SEARCH('Category Rules'!$B$6:$B$125,$C911)))*('Category Rules'!$B$6:$B$125&lt;&gt;"")),'Category Rules'!$C$6:$C$125),"Uncategorized"))</f>
        <v/>
      </c>
      <c r="F911" s="108" t="n"/>
      <c r="G911" s="103">
        <f>IF($C911="","",IF($F911&lt;&gt;"",$F911,$E911))</f>
        <v/>
      </c>
      <c r="H911" s="85">
        <f>IF($B911="","",TEXT($B911,"mmm yyyy"))</f>
        <v/>
      </c>
    </row>
    <row r="912" ht="18" customHeight="1">
      <c r="A912" s="10" t="n"/>
      <c r="B912" s="98" t="inlineStr">
        <is>
          <t>2026-06-17</t>
        </is>
      </c>
      <c r="C912" s="99" t="inlineStr">
        <is>
          <t>VENMO *Shane Stanfiel</t>
        </is>
      </c>
      <c r="D912" s="100" t="n">
        <v>20</v>
      </c>
      <c r="E912" s="104">
        <f>IF($C912="","",IFERROR(LOOKUP(2,1/((ISNUMBER(SEARCH('Category Rules'!$B$6:$B$125,$C912)))*('Category Rules'!$B$6:$B$125&lt;&gt;"")),'Category Rules'!$C$6:$C$125),"Uncategorized"))</f>
        <v/>
      </c>
      <c r="F912" s="108" t="n"/>
      <c r="G912" s="106">
        <f>IF($C912="","",IF($F912&lt;&gt;"",$F912,$E912))</f>
        <v/>
      </c>
      <c r="H912" s="82">
        <f>IF($B912="","",TEXT($B912,"mmm yyyy"))</f>
        <v/>
      </c>
    </row>
    <row r="913" ht="18" customHeight="1">
      <c r="A913" s="14" t="n"/>
      <c r="B913" s="98" t="inlineStr">
        <is>
          <t>2026-06-17</t>
        </is>
      </c>
      <c r="C913" s="99" t="inlineStr">
        <is>
          <t>MERIDIAN WASTE A</t>
        </is>
      </c>
      <c r="D913" s="100" t="n">
        <v>66.03</v>
      </c>
      <c r="E913" s="101">
        <f>IF($C913="","",IFERROR(LOOKUP(2,1/((ISNUMBER(SEARCH('Category Rules'!$B$6:$B$125,$C913)))*('Category Rules'!$B$6:$B$125&lt;&gt;"")),'Category Rules'!$C$6:$C$125),"Uncategorized"))</f>
        <v/>
      </c>
      <c r="F913" s="108" t="n"/>
      <c r="G913" s="103">
        <f>IF($C913="","",IF($F913&lt;&gt;"",$F913,$E913))</f>
        <v/>
      </c>
      <c r="H913" s="85">
        <f>IF($B913="","",TEXT($B913,"mmm yyyy"))</f>
        <v/>
      </c>
    </row>
    <row r="914" ht="18" customHeight="1">
      <c r="A914" s="10" t="n"/>
      <c r="B914" s="98" t="inlineStr">
        <is>
          <t>2026-06-18</t>
        </is>
      </c>
      <c r="C914" s="99" t="inlineStr">
        <is>
          <t>RACEWAY 7009</t>
        </is>
      </c>
      <c r="D914" s="100" t="n">
        <v>9.51</v>
      </c>
      <c r="E914" s="104">
        <f>IF($C914="","",IFERROR(LOOKUP(2,1/((ISNUMBER(SEARCH('Category Rules'!$B$6:$B$125,$C914)))*('Category Rules'!$B$6:$B$125&lt;&gt;"")),'Category Rules'!$C$6:$C$125),"Uncategorized"))</f>
        <v/>
      </c>
      <c r="F914" s="108" t="n"/>
      <c r="G914" s="106">
        <f>IF($C914="","",IF($F914&lt;&gt;"",$F914,$E914))</f>
        <v/>
      </c>
      <c r="H914" s="82">
        <f>IF($B914="","",TEXT($B914,"mmm yyyy"))</f>
        <v/>
      </c>
    </row>
    <row r="915" ht="18" customHeight="1">
      <c r="A915" s="14" t="n"/>
      <c r="B915" s="98" t="inlineStr">
        <is>
          <t>2026-06-18</t>
        </is>
      </c>
      <c r="C915" s="99" t="inlineStr">
        <is>
          <t>ANTHROPIC* CLAUDE SUB</t>
        </is>
      </c>
      <c r="D915" s="100" t="n">
        <v>20</v>
      </c>
      <c r="E915" s="101">
        <f>IF($C915="","",IFERROR(LOOKUP(2,1/((ISNUMBER(SEARCH('Category Rules'!$B$6:$B$125,$C915)))*('Category Rules'!$B$6:$B$125&lt;&gt;"")),'Category Rules'!$C$6:$C$125),"Uncategorized"))</f>
        <v/>
      </c>
      <c r="F915" s="108" t="n"/>
      <c r="G915" s="103">
        <f>IF($C915="","",IF($F915&lt;&gt;"",$F915,$E915))</f>
        <v/>
      </c>
      <c r="H915" s="85">
        <f>IF($B915="","",TEXT($B915,"mmm yyyy"))</f>
        <v/>
      </c>
    </row>
    <row r="916" ht="18" customHeight="1">
      <c r="A916" s="10" t="n"/>
      <c r="B916" s="98" t="inlineStr">
        <is>
          <t>2026-06-18</t>
        </is>
      </c>
      <c r="C916" s="99" t="inlineStr">
        <is>
          <t>TACO BELL #7029147</t>
        </is>
      </c>
      <c r="D916" s="100" t="n">
        <v>11.1</v>
      </c>
      <c r="E916" s="104">
        <f>IF($C916="","",IFERROR(LOOKUP(2,1/((ISNUMBER(SEARCH('Category Rules'!$B$6:$B$125,$C916)))*('Category Rules'!$B$6:$B$125&lt;&gt;"")),'Category Rules'!$C$6:$C$125),"Uncategorized"))</f>
        <v/>
      </c>
      <c r="F916" s="108" t="n"/>
      <c r="G916" s="106">
        <f>IF($C916="","",IF($F916&lt;&gt;"",$F916,$E916))</f>
        <v/>
      </c>
      <c r="H916" s="82">
        <f>IF($B916="","",TEXT($B916,"mmm yyyy"))</f>
        <v/>
      </c>
    </row>
    <row r="917" ht="18" customHeight="1">
      <c r="A917" s="14" t="n"/>
      <c r="B917" s="98" t="inlineStr">
        <is>
          <t>2026-06-18</t>
        </is>
      </c>
      <c r="C917" s="99" t="inlineStr">
        <is>
          <t>Bojangles 0914</t>
        </is>
      </c>
      <c r="D917" s="100" t="n">
        <v>9.99</v>
      </c>
      <c r="E917" s="101">
        <f>IF($C917="","",IFERROR(LOOKUP(2,1/((ISNUMBER(SEARCH('Category Rules'!$B$6:$B$125,$C917)))*('Category Rules'!$B$6:$B$125&lt;&gt;"")),'Category Rules'!$C$6:$C$125),"Uncategorized"))</f>
        <v/>
      </c>
      <c r="F917" s="108" t="n"/>
      <c r="G917" s="103">
        <f>IF($C917="","",IF($F917&lt;&gt;"",$F917,$E917))</f>
        <v/>
      </c>
      <c r="H917" s="85">
        <f>IF($B917="","",TEXT($B917,"mmm yyyy"))</f>
        <v/>
      </c>
    </row>
    <row r="918" ht="18" customHeight="1">
      <c r="A918" s="10" t="n"/>
      <c r="B918" s="98" t="inlineStr">
        <is>
          <t>2026-06-19</t>
        </is>
      </c>
      <c r="C918" s="99" t="inlineStr">
        <is>
          <t>DOLLAR GENERAL # DG 304</t>
        </is>
      </c>
      <c r="D918" s="100" t="n">
        <v>7.39</v>
      </c>
      <c r="E918" s="104">
        <f>IF($C918="","",IFERROR(LOOKUP(2,1/((ISNUMBER(SEARCH('Category Rules'!$B$6:$B$125,$C918)))*('Category Rules'!$B$6:$B$125&lt;&gt;"")),'Category Rules'!$C$6:$C$125),"Uncategorized"))</f>
        <v/>
      </c>
      <c r="F918" s="108" t="n"/>
      <c r="G918" s="106">
        <f>IF($C918="","",IF($F918&lt;&gt;"",$F918,$E918))</f>
        <v/>
      </c>
      <c r="H918" s="82">
        <f>IF($B918="","",TEXT($B918,"mmm yyyy"))</f>
        <v/>
      </c>
    </row>
    <row r="919" ht="18" customHeight="1">
      <c r="A919" s="14" t="n"/>
      <c r="B919" s="98" t="inlineStr">
        <is>
          <t>2026-06-19</t>
        </is>
      </c>
      <c r="C919" s="99" t="inlineStr">
        <is>
          <t>W. M. GROCERY</t>
        </is>
      </c>
      <c r="D919" s="100" t="n">
        <v>13.76</v>
      </c>
      <c r="E919" s="101">
        <f>IF($C919="","",IFERROR(LOOKUP(2,1/((ISNUMBER(SEARCH('Category Rules'!$B$6:$B$125,$C919)))*('Category Rules'!$B$6:$B$125&lt;&gt;"")),'Category Rules'!$C$6:$C$125),"Uncategorized"))</f>
        <v/>
      </c>
      <c r="F919" s="108" t="n"/>
      <c r="G919" s="103">
        <f>IF($C919="","",IF($F919&lt;&gt;"",$F919,$E919))</f>
        <v/>
      </c>
      <c r="H919" s="85">
        <f>IF($B919="","",TEXT($B919,"mmm yyyy"))</f>
        <v/>
      </c>
    </row>
    <row r="920" ht="18" customHeight="1">
      <c r="A920" s="10" t="n"/>
      <c r="B920" s="98" t="inlineStr">
        <is>
          <t>2026-06-19</t>
        </is>
      </c>
      <c r="C920" s="99" t="inlineStr">
        <is>
          <t>PIGGLY WIGGLY O</t>
        </is>
      </c>
      <c r="D920" s="100" t="n">
        <v>1.98</v>
      </c>
      <c r="E920" s="104">
        <f>IF($C920="","",IFERROR(LOOKUP(2,1/((ISNUMBER(SEARCH('Category Rules'!$B$6:$B$125,$C920)))*('Category Rules'!$B$6:$B$125&lt;&gt;"")),'Category Rules'!$C$6:$C$125),"Uncategorized"))</f>
        <v/>
      </c>
      <c r="F920" s="108" t="n"/>
      <c r="G920" s="106">
        <f>IF($C920="","",IF($F920&lt;&gt;"",$F920,$E920))</f>
        <v/>
      </c>
      <c r="H920" s="82">
        <f>IF($B920="","",TEXT($B920,"mmm yyyy"))</f>
        <v/>
      </c>
    </row>
    <row r="921" ht="18" customHeight="1">
      <c r="A921" s="14" t="n"/>
      <c r="B921" s="98" t="inlineStr">
        <is>
          <t>2026-06-19</t>
        </is>
      </c>
      <c r="C921" s="99" t="inlineStr">
        <is>
          <t>JACK'S #200</t>
        </is>
      </c>
      <c r="D921" s="100" t="n">
        <v>12.63</v>
      </c>
      <c r="E921" s="101">
        <f>IF($C921="","",IFERROR(LOOKUP(2,1/((ISNUMBER(SEARCH('Category Rules'!$B$6:$B$125,$C921)))*('Category Rules'!$B$6:$B$125&lt;&gt;"")),'Category Rules'!$C$6:$C$125),"Uncategorized"))</f>
        <v/>
      </c>
      <c r="F921" s="108" t="n"/>
      <c r="G921" s="103">
        <f>IF($C921="","",IF($F921&lt;&gt;"",$F921,$E921))</f>
        <v/>
      </c>
      <c r="H921" s="85">
        <f>IF($B921="","",TEXT($B921,"mmm yyyy"))</f>
        <v/>
      </c>
    </row>
    <row r="922" ht="18" customHeight="1">
      <c r="A922" s="10" t="n"/>
      <c r="B922" s="98" t="inlineStr">
        <is>
          <t>2026-06-19</t>
        </is>
      </c>
      <c r="C922" s="99" t="inlineStr">
        <is>
          <t>TST* ROCK N ROOSTER SA</t>
        </is>
      </c>
      <c r="D922" s="100" t="n">
        <v>31.95</v>
      </c>
      <c r="E922" s="104">
        <f>IF($C922="","",IFERROR(LOOKUP(2,1/((ISNUMBER(SEARCH('Category Rules'!$B$6:$B$125,$C922)))*('Category Rules'!$B$6:$B$125&lt;&gt;"")),'Category Rules'!$C$6:$C$125),"Uncategorized"))</f>
        <v/>
      </c>
      <c r="F922" s="108" t="n"/>
      <c r="G922" s="106">
        <f>IF($C922="","",IF($F922&lt;&gt;"",$F922,$E922))</f>
        <v/>
      </c>
      <c r="H922" s="82">
        <f>IF($B922="","",TEXT($B922,"mmm yyyy"))</f>
        <v/>
      </c>
    </row>
    <row r="923" ht="18" customHeight="1">
      <c r="A923" s="14" t="n"/>
      <c r="B923" s="98" t="inlineStr">
        <is>
          <t>2026-06-20</t>
        </is>
      </c>
      <c r="C923" s="99" t="inlineStr">
        <is>
          <t>MAPCO 5108 706 PELHAM R</t>
        </is>
      </c>
      <c r="D923" s="100" t="n">
        <v>74.56</v>
      </c>
      <c r="E923" s="101">
        <f>IF($C923="","",IFERROR(LOOKUP(2,1/((ISNUMBER(SEARCH('Category Rules'!$B$6:$B$125,$C923)))*('Category Rules'!$B$6:$B$125&lt;&gt;"")),'Category Rules'!$C$6:$C$125),"Uncategorized"))</f>
        <v/>
      </c>
      <c r="F923" s="108" t="n"/>
      <c r="G923" s="103">
        <f>IF($C923="","",IF($F923&lt;&gt;"",$F923,$E923))</f>
        <v/>
      </c>
      <c r="H923" s="85">
        <f>IF($B923="","",TEXT($B923,"mmm yyyy"))</f>
        <v/>
      </c>
    </row>
    <row r="924" ht="18" customHeight="1">
      <c r="A924" s="10" t="n"/>
      <c r="B924" s="98" t="inlineStr">
        <is>
          <t>2026-06-20</t>
        </is>
      </c>
      <c r="C924" s="99" t="inlineStr">
        <is>
          <t>POPS LANDING</t>
        </is>
      </c>
      <c r="D924" s="100" t="n">
        <v>10</v>
      </c>
      <c r="E924" s="104">
        <f>IF($C924="","",IFERROR(LOOKUP(2,1/((ISNUMBER(SEARCH('Category Rules'!$B$6:$B$125,$C924)))*('Category Rules'!$B$6:$B$125&lt;&gt;"")),'Category Rules'!$C$6:$C$125),"Uncategorized"))</f>
        <v/>
      </c>
      <c r="F924" s="108" t="n"/>
      <c r="G924" s="106">
        <f>IF($C924="","",IF($F924&lt;&gt;"",$F924,$E924))</f>
        <v/>
      </c>
      <c r="H924" s="82">
        <f>IF($B924="","",TEXT($B924,"mmm yyyy"))</f>
        <v/>
      </c>
    </row>
    <row r="925" ht="18" customHeight="1">
      <c r="A925" s="14" t="n"/>
      <c r="B925" s="98" t="inlineStr">
        <is>
          <t>2026-06-20</t>
        </is>
      </c>
      <c r="C925" s="99" t="inlineStr">
        <is>
          <t>W. M. GROCERY</t>
        </is>
      </c>
      <c r="D925" s="100" t="n">
        <v>2</v>
      </c>
      <c r="E925" s="101">
        <f>IF($C925="","",IFERROR(LOOKUP(2,1/((ISNUMBER(SEARCH('Category Rules'!$B$6:$B$125,$C925)))*('Category Rules'!$B$6:$B$125&lt;&gt;"")),'Category Rules'!$C$6:$C$125),"Uncategorized"))</f>
        <v/>
      </c>
      <c r="F925" s="108" t="n"/>
      <c r="G925" s="103">
        <f>IF($C925="","",IF($F925&lt;&gt;"",$F925,$E925))</f>
        <v/>
      </c>
      <c r="H925" s="85">
        <f>IF($B925="","",TEXT($B925,"mmm yyyy"))</f>
        <v/>
      </c>
    </row>
    <row r="926" ht="18" customHeight="1">
      <c r="A926" s="10" t="n"/>
      <c r="B926" s="98" t="inlineStr">
        <is>
          <t>2026-06-20</t>
        </is>
      </c>
      <c r="C926" s="99" t="inlineStr">
        <is>
          <t>TST* ROCK N ROOSTER SA</t>
        </is>
      </c>
      <c r="D926" s="100" t="n">
        <v>53.02</v>
      </c>
      <c r="E926" s="104">
        <f>IF($C926="","",IFERROR(LOOKUP(2,1/((ISNUMBER(SEARCH('Category Rules'!$B$6:$B$125,$C926)))*('Category Rules'!$B$6:$B$125&lt;&gt;"")),'Category Rules'!$C$6:$C$125),"Uncategorized"))</f>
        <v/>
      </c>
      <c r="F926" s="108" t="n"/>
      <c r="G926" s="106">
        <f>IF($C926="","",IF($F926&lt;&gt;"",$F926,$E926))</f>
        <v/>
      </c>
      <c r="H926" s="82">
        <f>IF($B926="","",TEXT($B926,"mmm yyyy"))</f>
        <v/>
      </c>
    </row>
    <row r="927" ht="18" customHeight="1">
      <c r="A927" s="14" t="n"/>
      <c r="B927" s="98" t="inlineStr">
        <is>
          <t>2026-06-20</t>
        </is>
      </c>
      <c r="C927" s="99" t="inlineStr">
        <is>
          <t>DAIRY QUEEN #44220</t>
        </is>
      </c>
      <c r="D927" s="100" t="n">
        <v>11.21</v>
      </c>
      <c r="E927" s="101">
        <f>IF($C927="","",IFERROR(LOOKUP(2,1/((ISNUMBER(SEARCH('Category Rules'!$B$6:$B$125,$C927)))*('Category Rules'!$B$6:$B$125&lt;&gt;"")),'Category Rules'!$C$6:$C$125),"Uncategorized"))</f>
        <v/>
      </c>
      <c r="F927" s="108" t="n"/>
      <c r="G927" s="103">
        <f>IF($C927="","",IF($F927&lt;&gt;"",$F927,$E927))</f>
        <v/>
      </c>
      <c r="H927" s="85">
        <f>IF($B927="","",TEXT($B927,"mmm yyyy"))</f>
        <v/>
      </c>
    </row>
    <row r="928" ht="18" customHeight="1">
      <c r="A928" s="10" t="n"/>
      <c r="B928" s="98" t="inlineStr">
        <is>
          <t>2026-06-20</t>
        </is>
      </c>
      <c r="C928" s="99" t="inlineStr">
        <is>
          <t>JEFFERSON'S OF JACKSON</t>
        </is>
      </c>
      <c r="D928" s="100" t="n">
        <v>29.19</v>
      </c>
      <c r="E928" s="104">
        <f>IF($C928="","",IFERROR(LOOKUP(2,1/((ISNUMBER(SEARCH('Category Rules'!$B$6:$B$125,$C928)))*('Category Rules'!$B$6:$B$125&lt;&gt;"")),'Category Rules'!$C$6:$C$125),"Uncategorized"))</f>
        <v/>
      </c>
      <c r="F928" s="108" t="n"/>
      <c r="G928" s="106">
        <f>IF($C928="","",IF($F928&lt;&gt;"",$F928,$E928))</f>
        <v/>
      </c>
      <c r="H928" s="82">
        <f>IF($B928="","",TEXT($B928,"mmm yyyy"))</f>
        <v/>
      </c>
    </row>
    <row r="929" ht="18" customHeight="1">
      <c r="A929" s="14" t="n"/>
      <c r="B929" s="98" t="inlineStr">
        <is>
          <t>2026-06-20</t>
        </is>
      </c>
      <c r="C929" s="99" t="inlineStr">
        <is>
          <t>WHATABURGER 1492</t>
        </is>
      </c>
      <c r="D929" s="100" t="n">
        <v>16.49</v>
      </c>
      <c r="E929" s="101">
        <f>IF($C929="","",IFERROR(LOOKUP(2,1/((ISNUMBER(SEARCH('Category Rules'!$B$6:$B$125,$C929)))*('Category Rules'!$B$6:$B$125&lt;&gt;"")),'Category Rules'!$C$6:$C$125),"Uncategorized"))</f>
        <v/>
      </c>
      <c r="F929" s="108" t="n"/>
      <c r="G929" s="103">
        <f>IF($C929="","",IF($F929&lt;&gt;"",$F929,$E929))</f>
        <v/>
      </c>
      <c r="H929" s="85">
        <f>IF($B929="","",TEXT($B929,"mmm yyyy"))</f>
        <v/>
      </c>
    </row>
    <row r="930" ht="18" customHeight="1">
      <c r="A930" s="10" t="n"/>
      <c r="B930" s="98" t="inlineStr">
        <is>
          <t>2026-06-20</t>
        </is>
      </c>
      <c r="C930" s="99" t="inlineStr">
        <is>
          <t>WHATABURGER 1492</t>
        </is>
      </c>
      <c r="D930" s="100" t="n">
        <v>15.06</v>
      </c>
      <c r="E930" s="104">
        <f>IF($C930="","",IFERROR(LOOKUP(2,1/((ISNUMBER(SEARCH('Category Rules'!$B$6:$B$125,$C930)))*('Category Rules'!$B$6:$B$125&lt;&gt;"")),'Category Rules'!$C$6:$C$125),"Uncategorized"))</f>
        <v/>
      </c>
      <c r="F930" s="108" t="n"/>
      <c r="G930" s="106">
        <f>IF($C930="","",IF($F930&lt;&gt;"",$F930,$E930))</f>
        <v/>
      </c>
      <c r="H930" s="82">
        <f>IF($B930="","",TEXT($B930,"mmm yyyy"))</f>
        <v/>
      </c>
    </row>
    <row r="931" ht="18" customHeight="1">
      <c r="A931" s="14" t="n"/>
      <c r="B931" s="98" t="inlineStr">
        <is>
          <t>2026-06-20</t>
        </is>
      </c>
      <c r="C931" s="99" t="inlineStr">
        <is>
          <t>SQ *JASMYNE TURNER</t>
        </is>
      </c>
      <c r="D931" s="100" t="n">
        <v>30</v>
      </c>
      <c r="E931" s="101">
        <f>IF($C931="","",IFERROR(LOOKUP(2,1/((ISNUMBER(SEARCH('Category Rules'!$B$6:$B$125,$C931)))*('Category Rules'!$B$6:$B$125&lt;&gt;"")),'Category Rules'!$C$6:$C$125),"Uncategorized"))</f>
        <v/>
      </c>
      <c r="F931" s="108" t="n"/>
      <c r="G931" s="103">
        <f>IF($C931="","",IF($F931&lt;&gt;"",$F931,$E931))</f>
        <v/>
      </c>
      <c r="H931" s="85">
        <f>IF($B931="","",TEXT($B931,"mmm yyyy"))</f>
        <v/>
      </c>
    </row>
    <row r="932" ht="18" customHeight="1">
      <c r="A932" s="10" t="n"/>
      <c r="B932" s="98" t="inlineStr">
        <is>
          <t>2026-06-20</t>
        </is>
      </c>
      <c r="C932" s="99" t="inlineStr">
        <is>
          <t>BREEDS FOOD MAR</t>
        </is>
      </c>
      <c r="D932" s="100" t="n">
        <v>13.11</v>
      </c>
      <c r="E932" s="104">
        <f>IF($C932="","",IFERROR(LOOKUP(2,1/((ISNUMBER(SEARCH('Category Rules'!$B$6:$B$125,$C932)))*('Category Rules'!$B$6:$B$125&lt;&gt;"")),'Category Rules'!$C$6:$C$125),"Uncategorized"))</f>
        <v/>
      </c>
      <c r="F932" s="108" t="n"/>
      <c r="G932" s="106">
        <f>IF($C932="","",IF($F932&lt;&gt;"",$F932,$E932))</f>
        <v/>
      </c>
      <c r="H932" s="82">
        <f>IF($B932="","",TEXT($B932,"mmm yyyy"))</f>
        <v/>
      </c>
    </row>
    <row r="933" ht="18" customHeight="1">
      <c r="A933" s="14" t="n"/>
      <c r="B933" s="98" t="inlineStr">
        <is>
          <t>2026-06-21</t>
        </is>
      </c>
      <c r="C933" s="99" t="inlineStr">
        <is>
          <t>SITE356853- CHE</t>
        </is>
      </c>
      <c r="D933" s="100" t="n">
        <v>20</v>
      </c>
      <c r="E933" s="101">
        <f>IF($C933="","",IFERROR(LOOKUP(2,1/((ISNUMBER(SEARCH('Category Rules'!$B$6:$B$125,$C933)))*('Category Rules'!$B$6:$B$125&lt;&gt;"")),'Category Rules'!$C$6:$C$125),"Uncategorized"))</f>
        <v/>
      </c>
      <c r="F933" s="108" t="n"/>
      <c r="G933" s="103">
        <f>IF($C933="","",IF($F933&lt;&gt;"",$F933,$E933))</f>
        <v/>
      </c>
      <c r="H933" s="85">
        <f>IF($B933="","",TEXT($B933,"mmm yyyy"))</f>
        <v/>
      </c>
    </row>
    <row r="934" ht="18" customHeight="1">
      <c r="A934" s="10" t="n"/>
      <c r="B934" s="98" t="inlineStr">
        <is>
          <t>2026-06-21</t>
        </is>
      </c>
      <c r="C934" s="99" t="inlineStr">
        <is>
          <t>PIC'N SAVE #248</t>
        </is>
      </c>
      <c r="D934" s="100" t="n">
        <v>1.86</v>
      </c>
      <c r="E934" s="104">
        <f>IF($C934="","",IFERROR(LOOKUP(2,1/((ISNUMBER(SEARCH('Category Rules'!$B$6:$B$125,$C934)))*('Category Rules'!$B$6:$B$125&lt;&gt;"")),'Category Rules'!$C$6:$C$125),"Uncategorized"))</f>
        <v/>
      </c>
      <c r="F934" s="108" t="n"/>
      <c r="G934" s="106">
        <f>IF($C934="","",IF($F934&lt;&gt;"",$F934,$E934))</f>
        <v/>
      </c>
      <c r="H934" s="82">
        <f>IF($B934="","",TEXT($B934,"mmm yyyy"))</f>
        <v/>
      </c>
    </row>
    <row r="935" ht="18" customHeight="1">
      <c r="A935" s="14" t="n"/>
      <c r="B935" s="98" t="inlineStr">
        <is>
          <t>2026-06-21</t>
        </is>
      </c>
      <c r="C935" s="99" t="inlineStr">
        <is>
          <t>PIC'N SAVE #248</t>
        </is>
      </c>
      <c r="D935" s="100" t="n">
        <v>1.97</v>
      </c>
      <c r="E935" s="101">
        <f>IF($C935="","",IFERROR(LOOKUP(2,1/((ISNUMBER(SEARCH('Category Rules'!$B$6:$B$125,$C935)))*('Category Rules'!$B$6:$B$125&lt;&gt;"")),'Category Rules'!$C$6:$C$125),"Uncategorized"))</f>
        <v/>
      </c>
      <c r="F935" s="108" t="n"/>
      <c r="G935" s="103">
        <f>IF($C935="","",IF($F935&lt;&gt;"",$F935,$E935))</f>
        <v/>
      </c>
      <c r="H935" s="85">
        <f>IF($B935="","",TEXT($B935,"mmm yyyy"))</f>
        <v/>
      </c>
    </row>
    <row r="936" ht="18" customHeight="1">
      <c r="A936" s="10" t="n"/>
      <c r="B936" s="98" t="inlineStr">
        <is>
          <t>2026-06-21</t>
        </is>
      </c>
      <c r="C936" s="99" t="inlineStr">
        <is>
          <t>MONARCH MONEY APP</t>
        </is>
      </c>
      <c r="D936" s="100" t="n">
        <v>14.99</v>
      </c>
      <c r="E936" s="104">
        <f>IF($C936="","",IFERROR(LOOKUP(2,1/((ISNUMBER(SEARCH('Category Rules'!$B$6:$B$125,$C936)))*('Category Rules'!$B$6:$B$125&lt;&gt;"")),'Category Rules'!$C$6:$C$125),"Uncategorized"))</f>
        <v/>
      </c>
      <c r="F936" s="108" t="n"/>
      <c r="G936" s="106">
        <f>IF($C936="","",IF($F936&lt;&gt;"",$F936,$E936))</f>
        <v/>
      </c>
      <c r="H936" s="82">
        <f>IF($B936="","",TEXT($B936,"mmm yyyy"))</f>
        <v/>
      </c>
    </row>
    <row r="937" ht="18" customHeight="1">
      <c r="A937" s="14" t="n"/>
      <c r="B937" s="98" t="inlineStr">
        <is>
          <t>2026-06-21</t>
        </is>
      </c>
      <c r="C937" s="99" t="inlineStr">
        <is>
          <t>PIC'N SAVE #248</t>
        </is>
      </c>
      <c r="D937" s="100" t="n">
        <v>2.37</v>
      </c>
      <c r="E937" s="101">
        <f>IF($C937="","",IFERROR(LOOKUP(2,1/((ISNUMBER(SEARCH('Category Rules'!$B$6:$B$125,$C937)))*('Category Rules'!$B$6:$B$125&lt;&gt;"")),'Category Rules'!$C$6:$C$125),"Uncategorized"))</f>
        <v/>
      </c>
      <c r="F937" s="108" t="n"/>
      <c r="G937" s="103">
        <f>IF($C937="","",IF($F937&lt;&gt;"",$F937,$E937))</f>
        <v/>
      </c>
      <c r="H937" s="85">
        <f>IF($B937="","",TEXT($B937,"mmm yyyy"))</f>
        <v/>
      </c>
    </row>
    <row r="938" ht="18" customHeight="1">
      <c r="A938" s="10" t="n"/>
      <c r="B938" s="98" t="inlineStr">
        <is>
          <t>2026-06-22</t>
        </is>
      </c>
      <c r="C938" s="99" t="inlineStr">
        <is>
          <t>SITE356853- CHE</t>
        </is>
      </c>
      <c r="D938" s="100" t="n">
        <v>14.29</v>
      </c>
      <c r="E938" s="104">
        <f>IF($C938="","",IFERROR(LOOKUP(2,1/((ISNUMBER(SEARCH('Category Rules'!$B$6:$B$125,$C938)))*('Category Rules'!$B$6:$B$125&lt;&gt;"")),'Category Rules'!$C$6:$C$125),"Uncategorized"))</f>
        <v/>
      </c>
      <c r="F938" s="108" t="n"/>
      <c r="G938" s="106">
        <f>IF($C938="","",IF($F938&lt;&gt;"",$F938,$E938))</f>
        <v/>
      </c>
      <c r="H938" s="82">
        <f>IF($B938="","",TEXT($B938,"mmm yyyy"))</f>
        <v/>
      </c>
    </row>
    <row r="939" ht="18" customHeight="1">
      <c r="A939" s="14" t="n"/>
      <c r="B939" s="98" t="inlineStr">
        <is>
          <t>2026-06-22</t>
        </is>
      </c>
      <c r="C939" s="99" t="inlineStr">
        <is>
          <t>SITE356853- CHE</t>
        </is>
      </c>
      <c r="D939" s="100" t="n">
        <v>23.3</v>
      </c>
      <c r="E939" s="101">
        <f>IF($C939="","",IFERROR(LOOKUP(2,1/((ISNUMBER(SEARCH('Category Rules'!$B$6:$B$125,$C939)))*('Category Rules'!$B$6:$B$125&lt;&gt;"")),'Category Rules'!$C$6:$C$125),"Uncategorized"))</f>
        <v/>
      </c>
      <c r="F939" s="108" t="n"/>
      <c r="G939" s="103">
        <f>IF($C939="","",IF($F939&lt;&gt;"",$F939,$E939))</f>
        <v/>
      </c>
      <c r="H939" s="85">
        <f>IF($B939="","",TEXT($B939,"mmm yyyy"))</f>
        <v/>
      </c>
    </row>
    <row r="940" ht="18" customHeight="1">
      <c r="A940" s="10" t="n"/>
      <c r="B940" s="98" t="inlineStr">
        <is>
          <t>2026-06-22</t>
        </is>
      </c>
      <c r="C940" s="99" t="inlineStr">
        <is>
          <t>sparklightacp</t>
        </is>
      </c>
      <c r="D940" s="100" t="n">
        <v>24.95</v>
      </c>
      <c r="E940" s="104">
        <f>IF($C940="","",IFERROR(LOOKUP(2,1/((ISNUMBER(SEARCH('Category Rules'!$B$6:$B$125,$C940)))*('Category Rules'!$B$6:$B$125&lt;&gt;"")),'Category Rules'!$C$6:$C$125),"Uncategorized"))</f>
        <v/>
      </c>
      <c r="F940" s="108" t="n"/>
      <c r="G940" s="106">
        <f>IF($C940="","",IF($F940&lt;&gt;"",$F940,$E940))</f>
        <v/>
      </c>
      <c r="H940" s="82">
        <f>IF($B940="","",TEXT($B940,"mmm yyyy"))</f>
        <v/>
      </c>
    </row>
    <row r="941" ht="18" customHeight="1">
      <c r="A941" s="14" t="n"/>
      <c r="B941" s="98" t="inlineStr">
        <is>
          <t>2026-06-22</t>
        </is>
      </c>
      <c r="C941" s="99" t="inlineStr">
        <is>
          <t>PIC'N SAVE #248</t>
        </is>
      </c>
      <c r="D941" s="100" t="n">
        <v>8.640000000000001</v>
      </c>
      <c r="E941" s="101">
        <f>IF($C941="","",IFERROR(LOOKUP(2,1/((ISNUMBER(SEARCH('Category Rules'!$B$6:$B$125,$C941)))*('Category Rules'!$B$6:$B$125&lt;&gt;"")),'Category Rules'!$C$6:$C$125),"Uncategorized"))</f>
        <v/>
      </c>
      <c r="F941" s="108" t="n"/>
      <c r="G941" s="103">
        <f>IF($C941="","",IF($F941&lt;&gt;"",$F941,$E941))</f>
        <v/>
      </c>
      <c r="H941" s="85">
        <f>IF($B941="","",TEXT($B941,"mmm yyyy"))</f>
        <v/>
      </c>
    </row>
    <row r="942" ht="18" customHeight="1">
      <c r="A942" s="10" t="n"/>
      <c r="B942" s="98" t="inlineStr">
        <is>
          <t>2026-06-22</t>
        </is>
      </c>
      <c r="C942" s="99" t="inlineStr">
        <is>
          <t>PIC'N SAVE #248</t>
        </is>
      </c>
      <c r="D942" s="100" t="n">
        <v>1.97</v>
      </c>
      <c r="E942" s="104">
        <f>IF($C942="","",IFERROR(LOOKUP(2,1/((ISNUMBER(SEARCH('Category Rules'!$B$6:$B$125,$C942)))*('Category Rules'!$B$6:$B$125&lt;&gt;"")),'Category Rules'!$C$6:$C$125),"Uncategorized"))</f>
        <v/>
      </c>
      <c r="F942" s="108" t="n"/>
      <c r="G942" s="106">
        <f>IF($C942="","",IF($F942&lt;&gt;"",$F942,$E942))</f>
        <v/>
      </c>
      <c r="H942" s="82">
        <f>IF($B942="","",TEXT($B942,"mmm yyyy"))</f>
        <v/>
      </c>
    </row>
    <row r="943" ht="18" customHeight="1">
      <c r="A943" s="14" t="n"/>
      <c r="B943" s="98" t="inlineStr">
        <is>
          <t>2026-06-22</t>
        </is>
      </c>
      <c r="C943" s="99" t="inlineStr">
        <is>
          <t>STATE FARM INSURANCE</t>
        </is>
      </c>
      <c r="D943" s="100" t="n">
        <v>79.33</v>
      </c>
      <c r="E943" s="101">
        <f>IF($C943="","",IFERROR(LOOKUP(2,1/((ISNUMBER(SEARCH('Category Rules'!$B$6:$B$125,$C943)))*('Category Rules'!$B$6:$B$125&lt;&gt;"")),'Category Rules'!$C$6:$C$125),"Uncategorized"))</f>
        <v/>
      </c>
      <c r="F943" s="108" t="n"/>
      <c r="G943" s="103">
        <f>IF($C943="","",IF($F943&lt;&gt;"",$F943,$E943))</f>
        <v/>
      </c>
      <c r="H943" s="85">
        <f>IF($B943="","",TEXT($B943,"mmm yyyy"))</f>
        <v/>
      </c>
    </row>
    <row r="944" ht="18" customHeight="1">
      <c r="A944" s="10" t="n"/>
      <c r="B944" s="98" t="inlineStr">
        <is>
          <t>2026-06-22</t>
        </is>
      </c>
      <c r="C944" s="99" t="inlineStr">
        <is>
          <t>STATE FARM INSURANCE</t>
        </is>
      </c>
      <c r="D944" s="100" t="n">
        <v>189.92</v>
      </c>
      <c r="E944" s="104">
        <f>IF($C944="","",IFERROR(LOOKUP(2,1/((ISNUMBER(SEARCH('Category Rules'!$B$6:$B$125,$C944)))*('Category Rules'!$B$6:$B$125&lt;&gt;"")),'Category Rules'!$C$6:$C$125),"Uncategorized"))</f>
        <v/>
      </c>
      <c r="F944" s="108" t="n"/>
      <c r="G944" s="106">
        <f>IF($C944="","",IF($F944&lt;&gt;"",$F944,$E944))</f>
        <v/>
      </c>
      <c r="H944" s="82">
        <f>IF($B944="","",TEXT($B944,"mmm yyyy"))</f>
        <v/>
      </c>
    </row>
    <row r="945" ht="18" customHeight="1">
      <c r="A945" s="14" t="n"/>
      <c r="B945" s="98" t="inlineStr">
        <is>
          <t>2026-06-22</t>
        </is>
      </c>
      <c r="C945" s="99" t="inlineStr">
        <is>
          <t>OURARING INC.</t>
        </is>
      </c>
      <c r="D945" s="100" t="n">
        <v>69.98999999999999</v>
      </c>
      <c r="E945" s="101">
        <f>IF($C945="","",IFERROR(LOOKUP(2,1/((ISNUMBER(SEARCH('Category Rules'!$B$6:$B$125,$C945)))*('Category Rules'!$B$6:$B$125&lt;&gt;"")),'Category Rules'!$C$6:$C$125),"Uncategorized"))</f>
        <v/>
      </c>
      <c r="F945" s="108" t="n"/>
      <c r="G945" s="103">
        <f>IF($C945="","",IF($F945&lt;&gt;"",$F945,$E945))</f>
        <v/>
      </c>
      <c r="H945" s="85">
        <f>IF($B945="","",TEXT($B945,"mmm yyyy"))</f>
        <v/>
      </c>
    </row>
    <row r="946" ht="18" customHeight="1">
      <c r="A946" s="10" t="n"/>
      <c r="B946" s="98" t="inlineStr">
        <is>
          <t>2026-06-22</t>
        </is>
      </c>
      <c r="C946" s="99" t="inlineStr">
        <is>
          <t>PIC'N SAVE #248</t>
        </is>
      </c>
      <c r="D946" s="100" t="n">
        <v>2.46</v>
      </c>
      <c r="E946" s="104">
        <f>IF($C946="","",IFERROR(LOOKUP(2,1/((ISNUMBER(SEARCH('Category Rules'!$B$6:$B$125,$C946)))*('Category Rules'!$B$6:$B$125&lt;&gt;"")),'Category Rules'!$C$6:$C$125),"Uncategorized"))</f>
        <v/>
      </c>
      <c r="F946" s="108" t="n"/>
      <c r="G946" s="106">
        <f>IF($C946="","",IF($F946&lt;&gt;"",$F946,$E946))</f>
        <v/>
      </c>
      <c r="H946" s="82">
        <f>IF($B946="","",TEXT($B946,"mmm yyyy"))</f>
        <v/>
      </c>
    </row>
    <row r="947" ht="18" customHeight="1">
      <c r="A947" s="14" t="n"/>
      <c r="B947" s="98" t="inlineStr">
        <is>
          <t>2026-06-23</t>
        </is>
      </c>
      <c r="C947" s="99" t="inlineStr">
        <is>
          <t>DORSEY'S SUPERM</t>
        </is>
      </c>
      <c r="D947" s="100" t="n">
        <v>1.37</v>
      </c>
      <c r="E947" s="101">
        <f>IF($C947="","",IFERROR(LOOKUP(2,1/((ISNUMBER(SEARCH('Category Rules'!$B$6:$B$125,$C947)))*('Category Rules'!$B$6:$B$125&lt;&gt;"")),'Category Rules'!$C$6:$C$125),"Uncategorized"))</f>
        <v/>
      </c>
      <c r="F947" s="108" t="n"/>
      <c r="G947" s="103">
        <f>IF($C947="","",IF($F947&lt;&gt;"",$F947,$E947))</f>
        <v/>
      </c>
      <c r="H947" s="85">
        <f>IF($B947="","",TEXT($B947,"mmm yyyy"))</f>
        <v/>
      </c>
    </row>
    <row r="948" ht="18" customHeight="1">
      <c r="A948" s="10" t="n"/>
      <c r="B948" s="98" t="inlineStr">
        <is>
          <t>2026-06-23</t>
        </is>
      </c>
      <c r="C948" s="99" t="inlineStr">
        <is>
          <t>JACK'S #203</t>
        </is>
      </c>
      <c r="D948" s="100" t="n">
        <v>9.25</v>
      </c>
      <c r="E948" s="104">
        <f>IF($C948="","",IFERROR(LOOKUP(2,1/((ISNUMBER(SEARCH('Category Rules'!$B$6:$B$125,$C948)))*('Category Rules'!$B$6:$B$125&lt;&gt;"")),'Category Rules'!$C$6:$C$125),"Uncategorized"))</f>
        <v/>
      </c>
      <c r="F948" s="108" t="n"/>
      <c r="G948" s="106">
        <f>IF($C948="","",IF($F948&lt;&gt;"",$F948,$E948))</f>
        <v/>
      </c>
      <c r="H948" s="82">
        <f>IF($B948="","",TEXT($B948,"mmm yyyy"))</f>
        <v/>
      </c>
    </row>
    <row r="949" ht="18" customHeight="1">
      <c r="A949" s="14" t="n"/>
      <c r="B949" s="98" t="inlineStr">
        <is>
          <t>2026-06-23</t>
        </is>
      </c>
      <c r="C949" s="99" t="inlineStr">
        <is>
          <t>PIC'N SAVE #248</t>
        </is>
      </c>
      <c r="D949" s="100" t="n">
        <v>3.21</v>
      </c>
      <c r="E949" s="101">
        <f>IF($C949="","",IFERROR(LOOKUP(2,1/((ISNUMBER(SEARCH('Category Rules'!$B$6:$B$125,$C949)))*('Category Rules'!$B$6:$B$125&lt;&gt;"")),'Category Rules'!$C$6:$C$125),"Uncategorized"))</f>
        <v/>
      </c>
      <c r="F949" s="108" t="n"/>
      <c r="G949" s="103">
        <f>IF($C949="","",IF($F949&lt;&gt;"",$F949,$E949))</f>
        <v/>
      </c>
      <c r="H949" s="85">
        <f>IF($B949="","",TEXT($B949,"mmm yyyy"))</f>
        <v/>
      </c>
    </row>
    <row r="950" ht="18" customHeight="1">
      <c r="A950" s="10" t="n"/>
      <c r="B950" s="98" t="inlineStr">
        <is>
          <t>2026-06-24</t>
        </is>
      </c>
      <c r="C950" s="99" t="inlineStr">
        <is>
          <t>DOLLAR GENERAL # DG 127</t>
        </is>
      </c>
      <c r="D950" s="100" t="n">
        <v>6.1</v>
      </c>
      <c r="E950" s="104">
        <f>IF($C950="","",IFERROR(LOOKUP(2,1/((ISNUMBER(SEARCH('Category Rules'!$B$6:$B$125,$C950)))*('Category Rules'!$B$6:$B$125&lt;&gt;"")),'Category Rules'!$C$6:$C$125),"Uncategorized"))</f>
        <v/>
      </c>
      <c r="F950" s="108" t="n"/>
      <c r="G950" s="106">
        <f>IF($C950="","",IF($F950&lt;&gt;"",$F950,$E950))</f>
        <v/>
      </c>
      <c r="H950" s="82">
        <f>IF($B950="","",TEXT($B950,"mmm yyyy"))</f>
        <v/>
      </c>
    </row>
    <row r="951" ht="18" customHeight="1">
      <c r="A951" s="14" t="n"/>
      <c r="B951" s="98" t="inlineStr">
        <is>
          <t>2026-06-24</t>
        </is>
      </c>
      <c r="C951" s="99" t="inlineStr">
        <is>
          <t>NETFLIX.COM</t>
        </is>
      </c>
      <c r="D951" s="100" t="n">
        <v>9.710000000000001</v>
      </c>
      <c r="E951" s="101">
        <f>IF($C951="","",IFERROR(LOOKUP(2,1/((ISNUMBER(SEARCH('Category Rules'!$B$6:$B$125,$C951)))*('Category Rules'!$B$6:$B$125&lt;&gt;"")),'Category Rules'!$C$6:$C$125),"Uncategorized"))</f>
        <v/>
      </c>
      <c r="F951" s="108" t="n"/>
      <c r="G951" s="103">
        <f>IF($C951="","",IF($F951&lt;&gt;"",$F951,$E951))</f>
        <v/>
      </c>
      <c r="H951" s="85">
        <f>IF($B951="","",TEXT($B951,"mmm yyyy"))</f>
        <v/>
      </c>
    </row>
    <row r="952" ht="18" customHeight="1">
      <c r="A952" s="10" t="n"/>
      <c r="B952" s="98" t="inlineStr">
        <is>
          <t>2026-06-24</t>
        </is>
      </c>
      <c r="C952" s="99" t="inlineStr">
        <is>
          <t>CIRCLE K # 09309 22 CH</t>
        </is>
      </c>
      <c r="D952" s="100" t="n">
        <v>3.81</v>
      </c>
      <c r="E952" s="104">
        <f>IF($C952="","",IFERROR(LOOKUP(2,1/((ISNUMBER(SEARCH('Category Rules'!$B$6:$B$125,$C952)))*('Category Rules'!$B$6:$B$125&lt;&gt;"")),'Category Rules'!$C$6:$C$125),"Uncategorized"))</f>
        <v/>
      </c>
      <c r="F952" s="108" t="n"/>
      <c r="G952" s="106">
        <f>IF($C952="","",IF($F952&lt;&gt;"",$F952,$E952))</f>
        <v/>
      </c>
      <c r="H952" s="82">
        <f>IF($B952="","",TEXT($B952,"mmm yyyy"))</f>
        <v/>
      </c>
    </row>
    <row r="953" ht="18" customHeight="1">
      <c r="A953" s="14" t="n"/>
      <c r="B953" s="98" t="inlineStr">
        <is>
          <t>2026-06-25</t>
        </is>
      </c>
      <c r="C953" s="99" t="inlineStr">
        <is>
          <t>HT EXPRESS 4</t>
        </is>
      </c>
      <c r="D953" s="100" t="n">
        <v>5.38</v>
      </c>
      <c r="E953" s="101">
        <f>IF($C953="","",IFERROR(LOOKUP(2,1/((ISNUMBER(SEARCH('Category Rules'!$B$6:$B$125,$C953)))*('Category Rules'!$B$6:$B$125&lt;&gt;"")),'Category Rules'!$C$6:$C$125),"Uncategorized"))</f>
        <v/>
      </c>
      <c r="F953" s="108" t="n"/>
      <c r="G953" s="103">
        <f>IF($C953="","",IF($F953&lt;&gt;"",$F953,$E953))</f>
        <v/>
      </c>
      <c r="H953" s="85">
        <f>IF($B953="","",TEXT($B953,"mmm yyyy"))</f>
        <v/>
      </c>
    </row>
    <row r="954" ht="18" customHeight="1">
      <c r="A954" s="10" t="n"/>
      <c r="B954" s="98" t="inlineStr">
        <is>
          <t>2026-06-25</t>
        </is>
      </c>
      <c r="C954" s="99" t="inlineStr">
        <is>
          <t>MAPCO 5108 706 PELHAM R</t>
        </is>
      </c>
      <c r="D954" s="100" t="n">
        <v>74.88</v>
      </c>
      <c r="E954" s="104">
        <f>IF($C954="","",IFERROR(LOOKUP(2,1/((ISNUMBER(SEARCH('Category Rules'!$B$6:$B$125,$C954)))*('Category Rules'!$B$6:$B$125&lt;&gt;"")),'Category Rules'!$C$6:$C$125),"Uncategorized"))</f>
        <v/>
      </c>
      <c r="F954" s="108" t="n"/>
      <c r="G954" s="106">
        <f>IF($C954="","",IF($F954&lt;&gt;"",$F954,$E954))</f>
        <v/>
      </c>
      <c r="H954" s="82">
        <f>IF($B954="","",TEXT($B954,"mmm yyyy"))</f>
        <v/>
      </c>
    </row>
    <row r="955" ht="18" customHeight="1">
      <c r="A955" s="14" t="n"/>
      <c r="B955" s="98" t="inlineStr">
        <is>
          <t>2026-06-25</t>
        </is>
      </c>
      <c r="C955" s="99" t="inlineStr">
        <is>
          <t>Bojangles 0914</t>
        </is>
      </c>
      <c r="D955" s="100" t="n">
        <v>13.73</v>
      </c>
      <c r="E955" s="101">
        <f>IF($C955="","",IFERROR(LOOKUP(2,1/((ISNUMBER(SEARCH('Category Rules'!$B$6:$B$125,$C955)))*('Category Rules'!$B$6:$B$125&lt;&gt;"")),'Category Rules'!$C$6:$C$125),"Uncategorized"))</f>
        <v/>
      </c>
      <c r="F955" s="108" t="n"/>
      <c r="G955" s="103">
        <f>IF($C955="","",IF($F955&lt;&gt;"",$F955,$E955))</f>
        <v/>
      </c>
      <c r="H955" s="85">
        <f>IF($B955="","",TEXT($B955,"mmm yyyy"))</f>
        <v/>
      </c>
    </row>
    <row r="956" ht="18" customHeight="1">
      <c r="A956" s="10" t="n"/>
      <c r="B956" s="98" t="inlineStr">
        <is>
          <t>2026-06-26</t>
        </is>
      </c>
      <c r="C956" s="99" t="inlineStr">
        <is>
          <t>CIRCLE K # 09309 22 CH</t>
        </is>
      </c>
      <c r="D956" s="100" t="n">
        <v>10.27</v>
      </c>
      <c r="E956" s="104">
        <f>IF($C956="","",IFERROR(LOOKUP(2,1/((ISNUMBER(SEARCH('Category Rules'!$B$6:$B$125,$C956)))*('Category Rules'!$B$6:$B$125&lt;&gt;"")),'Category Rules'!$C$6:$C$125),"Uncategorized"))</f>
        <v/>
      </c>
      <c r="F956" s="108" t="n"/>
      <c r="G956" s="106">
        <f>IF($C956="","",IF($F956&lt;&gt;"",$F956,$E956))</f>
        <v/>
      </c>
      <c r="H956" s="82">
        <f>IF($B956="","",TEXT($B956,"mmm yyyy"))</f>
        <v/>
      </c>
    </row>
    <row r="957" ht="18" customHeight="1">
      <c r="A957" s="14" t="n"/>
      <c r="B957" s="98" t="inlineStr">
        <is>
          <t>2026-06-26</t>
        </is>
      </c>
      <c r="C957" s="99" t="inlineStr">
        <is>
          <t>W. M. GROCERY</t>
        </is>
      </c>
      <c r="D957" s="100" t="n">
        <v>2.11</v>
      </c>
      <c r="E957" s="101">
        <f>IF($C957="","",IFERROR(LOOKUP(2,1/((ISNUMBER(SEARCH('Category Rules'!$B$6:$B$125,$C957)))*('Category Rules'!$B$6:$B$125&lt;&gt;"")),'Category Rules'!$C$6:$C$125),"Uncategorized"))</f>
        <v/>
      </c>
      <c r="F957" s="108" t="n"/>
      <c r="G957" s="103">
        <f>IF($C957="","",IF($F957&lt;&gt;"",$F957,$E957))</f>
        <v/>
      </c>
      <c r="H957" s="85">
        <f>IF($B957="","",TEXT($B957,"mmm yyyy"))</f>
        <v/>
      </c>
    </row>
    <row r="958" ht="18" customHeight="1">
      <c r="A958" s="10" t="n"/>
      <c r="B958" s="98" t="inlineStr">
        <is>
          <t>2026-06-26</t>
        </is>
      </c>
      <c r="C958" s="99" t="inlineStr">
        <is>
          <t>W. M. GROCERY</t>
        </is>
      </c>
      <c r="D958" s="100" t="n">
        <v>1.58</v>
      </c>
      <c r="E958" s="104">
        <f>IF($C958="","",IFERROR(LOOKUP(2,1/((ISNUMBER(SEARCH('Category Rules'!$B$6:$B$125,$C958)))*('Category Rules'!$B$6:$B$125&lt;&gt;"")),'Category Rules'!$C$6:$C$125),"Uncategorized"))</f>
        <v/>
      </c>
      <c r="F958" s="108" t="n"/>
      <c r="G958" s="106">
        <f>IF($C958="","",IF($F958&lt;&gt;"",$F958,$E958))</f>
        <v/>
      </c>
      <c r="H958" s="82">
        <f>IF($B958="","",TEXT($B958,"mmm yyyy"))</f>
        <v/>
      </c>
    </row>
    <row r="959" ht="18" customHeight="1">
      <c r="A959" s="14" t="n"/>
      <c r="B959" s="98" t="inlineStr">
        <is>
          <t>2026-06-26</t>
        </is>
      </c>
      <c r="C959" s="99" t="inlineStr">
        <is>
          <t>W. M. GROCERY</t>
        </is>
      </c>
      <c r="D959" s="100" t="n">
        <v>11.65</v>
      </c>
      <c r="E959" s="101">
        <f>IF($C959="","",IFERROR(LOOKUP(2,1/((ISNUMBER(SEARCH('Category Rules'!$B$6:$B$125,$C959)))*('Category Rules'!$B$6:$B$125&lt;&gt;"")),'Category Rules'!$C$6:$C$125),"Uncategorized"))</f>
        <v/>
      </c>
      <c r="F959" s="108" t="n"/>
      <c r="G959" s="103">
        <f>IF($C959="","",IF($F959&lt;&gt;"",$F959,$E959))</f>
        <v/>
      </c>
      <c r="H959" s="85">
        <f>IF($B959="","",TEXT($B959,"mmm yyyy"))</f>
        <v/>
      </c>
    </row>
    <row r="960" ht="18" customHeight="1">
      <c r="A960" s="10" t="n"/>
      <c r="B960" s="98" t="inlineStr">
        <is>
          <t>2026-06-26</t>
        </is>
      </c>
      <c r="C960" s="99" t="inlineStr">
        <is>
          <t>TST* ROCK N ROOSTER SA</t>
        </is>
      </c>
      <c r="D960" s="100" t="n">
        <v>23.75</v>
      </c>
      <c r="E960" s="104">
        <f>IF($C960="","",IFERROR(LOOKUP(2,1/((ISNUMBER(SEARCH('Category Rules'!$B$6:$B$125,$C960)))*('Category Rules'!$B$6:$B$125&lt;&gt;"")),'Category Rules'!$C$6:$C$125),"Uncategorized"))</f>
        <v/>
      </c>
      <c r="F960" s="108" t="n"/>
      <c r="G960" s="106">
        <f>IF($C960="","",IF($F960&lt;&gt;"",$F960,$E960))</f>
        <v/>
      </c>
      <c r="H960" s="82">
        <f>IF($B960="","",TEXT($B960,"mmm yyyy"))</f>
        <v/>
      </c>
    </row>
    <row r="961" ht="18" customHeight="1">
      <c r="A961" s="14" t="n"/>
      <c r="B961" s="98" t="inlineStr">
        <is>
          <t>2026-06-26</t>
        </is>
      </c>
      <c r="C961" s="99" t="inlineStr">
        <is>
          <t>CASH APP*MADISON SMITH</t>
        </is>
      </c>
      <c r="D961" s="100" t="n">
        <v>40</v>
      </c>
      <c r="E961" s="101">
        <f>IF($C961="","",IFERROR(LOOKUP(2,1/((ISNUMBER(SEARCH('Category Rules'!$B$6:$B$125,$C961)))*('Category Rules'!$B$6:$B$125&lt;&gt;"")),'Category Rules'!$C$6:$C$125),"Uncategorized"))</f>
        <v/>
      </c>
      <c r="F961" s="108" t="n"/>
      <c r="G961" s="103">
        <f>IF($C961="","",IF($F961&lt;&gt;"",$F961,$E961))</f>
        <v/>
      </c>
      <c r="H961" s="85">
        <f>IF($B961="","",TEXT($B961,"mmm yyyy"))</f>
        <v/>
      </c>
    </row>
    <row r="962" ht="18" customHeight="1">
      <c r="A962" s="10" t="n"/>
      <c r="B962" s="98" t="inlineStr">
        <is>
          <t>2026-06-26</t>
        </is>
      </c>
      <c r="C962" s="99" t="inlineStr">
        <is>
          <t>TST* ROCK N ROOSTER SA</t>
        </is>
      </c>
      <c r="D962" s="100" t="n">
        <v>4.31</v>
      </c>
      <c r="E962" s="104">
        <f>IF($C962="","",IFERROR(LOOKUP(2,1/((ISNUMBER(SEARCH('Category Rules'!$B$6:$B$125,$C962)))*('Category Rules'!$B$6:$B$125&lt;&gt;"")),'Category Rules'!$C$6:$C$125),"Uncategorized"))</f>
        <v/>
      </c>
      <c r="F962" s="108" t="n"/>
      <c r="G962" s="106">
        <f>IF($C962="","",IF($F962&lt;&gt;"",$F962,$E962))</f>
        <v/>
      </c>
      <c r="H962" s="82">
        <f>IF($B962="","",TEXT($B962,"mmm yyyy"))</f>
        <v/>
      </c>
    </row>
    <row r="963" ht="18" customHeight="1">
      <c r="A963" s="14" t="n"/>
      <c r="B963" s="98" t="inlineStr">
        <is>
          <t>2026-06-26</t>
        </is>
      </c>
      <c r="C963" s="99" t="inlineStr">
        <is>
          <t>JACK'S #200</t>
        </is>
      </c>
      <c r="D963" s="100" t="n">
        <v>10.11</v>
      </c>
      <c r="E963" s="101">
        <f>IF($C963="","",IFERROR(LOOKUP(2,1/((ISNUMBER(SEARCH('Category Rules'!$B$6:$B$125,$C963)))*('Category Rules'!$B$6:$B$125&lt;&gt;"")),'Category Rules'!$C$6:$C$125),"Uncategorized"))</f>
        <v/>
      </c>
      <c r="F963" s="108" t="n"/>
      <c r="G963" s="103">
        <f>IF($C963="","",IF($F963&lt;&gt;"",$F963,$E963))</f>
        <v/>
      </c>
      <c r="H963" s="85">
        <f>IF($B963="","",TEXT($B963,"mmm yyyy"))</f>
        <v/>
      </c>
    </row>
    <row r="964" ht="18" customHeight="1">
      <c r="A964" s="10" t="n"/>
      <c r="B964" s="98" t="inlineStr">
        <is>
          <t>2026-06-26</t>
        </is>
      </c>
      <c r="C964" s="99" t="inlineStr">
        <is>
          <t>APPLE.COM/BILL</t>
        </is>
      </c>
      <c r="D964" s="100" t="n">
        <v>0.99</v>
      </c>
      <c r="E964" s="104">
        <f>IF($C964="","",IFERROR(LOOKUP(2,1/((ISNUMBER(SEARCH('Category Rules'!$B$6:$B$125,$C964)))*('Category Rules'!$B$6:$B$125&lt;&gt;"")),'Category Rules'!$C$6:$C$125),"Uncategorized"))</f>
        <v/>
      </c>
      <c r="F964" s="108" t="n"/>
      <c r="G964" s="106">
        <f>IF($C964="","",IF($F964&lt;&gt;"",$F964,$E964))</f>
        <v/>
      </c>
      <c r="H964" s="82">
        <f>IF($B964="","",TEXT($B964,"mmm yyyy"))</f>
        <v/>
      </c>
    </row>
    <row r="965" ht="18" customHeight="1">
      <c r="A965" s="14" t="n"/>
      <c r="B965" s="98" t="inlineStr">
        <is>
          <t>2026-06-26</t>
        </is>
      </c>
      <c r="C965" s="99" t="inlineStr">
        <is>
          <t>W. M. GROCERY</t>
        </is>
      </c>
      <c r="D965" s="100" t="n">
        <v>3.17</v>
      </c>
      <c r="E965" s="101">
        <f>IF($C965="","",IFERROR(LOOKUP(2,1/((ISNUMBER(SEARCH('Category Rules'!$B$6:$B$125,$C965)))*('Category Rules'!$B$6:$B$125&lt;&gt;"")),'Category Rules'!$C$6:$C$125),"Uncategorized"))</f>
        <v/>
      </c>
      <c r="F965" s="108" t="n"/>
      <c r="G965" s="103">
        <f>IF($C965="","",IF($F965&lt;&gt;"",$F965,$E965))</f>
        <v/>
      </c>
      <c r="H965" s="85">
        <f>IF($B965="","",TEXT($B965,"mmm yyyy"))</f>
        <v/>
      </c>
    </row>
    <row r="966" ht="18" customHeight="1">
      <c r="A966" s="10" t="n"/>
      <c r="B966" s="98" t="inlineStr">
        <is>
          <t>2026-06-27</t>
        </is>
      </c>
      <c r="C966" s="99" t="inlineStr">
        <is>
          <t>W. M. GROCERY</t>
        </is>
      </c>
      <c r="D966" s="100" t="n">
        <v>1.37</v>
      </c>
      <c r="E966" s="104">
        <f>IF($C966="","",IFERROR(LOOKUP(2,1/((ISNUMBER(SEARCH('Category Rules'!$B$6:$B$125,$C966)))*('Category Rules'!$B$6:$B$125&lt;&gt;"")),'Category Rules'!$C$6:$C$125),"Uncategorized"))</f>
        <v/>
      </c>
      <c r="F966" s="108" t="n"/>
      <c r="G966" s="106">
        <f>IF($C966="","",IF($F966&lt;&gt;"",$F966,$E966))</f>
        <v/>
      </c>
      <c r="H966" s="82">
        <f>IF($B966="","",TEXT($B966,"mmm yyyy"))</f>
        <v/>
      </c>
    </row>
    <row r="967" ht="18" customHeight="1">
      <c r="A967" s="14" t="n"/>
      <c r="B967" s="98" t="inlineStr">
        <is>
          <t>2026-06-27</t>
        </is>
      </c>
      <c r="C967" s="99" t="inlineStr">
        <is>
          <t>PERRYLAND FOODS</t>
        </is>
      </c>
      <c r="D967" s="100" t="n">
        <v>5.09</v>
      </c>
      <c r="E967" s="101">
        <f>IF($C967="","",IFERROR(LOOKUP(2,1/((ISNUMBER(SEARCH('Category Rules'!$B$6:$B$125,$C967)))*('Category Rules'!$B$6:$B$125&lt;&gt;"")),'Category Rules'!$C$6:$C$125),"Uncategorized"))</f>
        <v/>
      </c>
      <c r="F967" s="108" t="n"/>
      <c r="G967" s="103">
        <f>IF($C967="","",IF($F967&lt;&gt;"",$F967,$E967))</f>
        <v/>
      </c>
      <c r="H967" s="85">
        <f>IF($B967="","",TEXT($B967,"mmm yyyy"))</f>
        <v/>
      </c>
    </row>
    <row r="968" ht="18" customHeight="1">
      <c r="A968" s="10" t="n"/>
      <c r="B968" s="98" t="inlineStr">
        <is>
          <t>2026-06-27</t>
        </is>
      </c>
      <c r="C968" s="99" t="inlineStr">
        <is>
          <t>PIGGLY WIGGLY O</t>
        </is>
      </c>
      <c r="D968" s="100" t="n">
        <v>11.72</v>
      </c>
      <c r="E968" s="104">
        <f>IF($C968="","",IFERROR(LOOKUP(2,1/((ISNUMBER(SEARCH('Category Rules'!$B$6:$B$125,$C968)))*('Category Rules'!$B$6:$B$125&lt;&gt;"")),'Category Rules'!$C$6:$C$125),"Uncategorized"))</f>
        <v/>
      </c>
      <c r="F968" s="108" t="n"/>
      <c r="G968" s="106">
        <f>IF($C968="","",IF($F968&lt;&gt;"",$F968,$E968))</f>
        <v/>
      </c>
      <c r="H968" s="82">
        <f>IF($B968="","",TEXT($B968,"mmm yyyy"))</f>
        <v/>
      </c>
    </row>
    <row r="969" ht="18" customHeight="1">
      <c r="A969" s="14" t="n"/>
      <c r="B969" s="98" t="inlineStr">
        <is>
          <t>2026-06-27</t>
        </is>
      </c>
      <c r="C969" s="99" t="inlineStr">
        <is>
          <t>TST* ROCK N ROOSTER SA</t>
        </is>
      </c>
      <c r="D969" s="100" t="n">
        <v>30.22</v>
      </c>
      <c r="E969" s="101">
        <f>IF($C969="","",IFERROR(LOOKUP(2,1/((ISNUMBER(SEARCH('Category Rules'!$B$6:$B$125,$C969)))*('Category Rules'!$B$6:$B$125&lt;&gt;"")),'Category Rules'!$C$6:$C$125),"Uncategorized"))</f>
        <v/>
      </c>
      <c r="F969" s="108" t="n"/>
      <c r="G969" s="103">
        <f>IF($C969="","",IF($F969&lt;&gt;"",$F969,$E969))</f>
        <v/>
      </c>
      <c r="H969" s="85">
        <f>IF($B969="","",TEXT($B969,"mmm yyyy"))</f>
        <v/>
      </c>
    </row>
    <row r="970" ht="18" customHeight="1">
      <c r="A970" s="10" t="n"/>
      <c r="B970" s="98" t="inlineStr">
        <is>
          <t>2026-06-27</t>
        </is>
      </c>
      <c r="C970" s="99" t="inlineStr">
        <is>
          <t>CASH APP*RALPH WHEELER</t>
        </is>
      </c>
      <c r="D970" s="100" t="n">
        <v>10</v>
      </c>
      <c r="E970" s="104">
        <f>IF($C970="","",IFERROR(LOOKUP(2,1/((ISNUMBER(SEARCH('Category Rules'!$B$6:$B$125,$C970)))*('Category Rules'!$B$6:$B$125&lt;&gt;"")),'Category Rules'!$C$6:$C$125),"Uncategorized"))</f>
        <v/>
      </c>
      <c r="F970" s="108" t="n"/>
      <c r="G970" s="106">
        <f>IF($C970="","",IF($F970&lt;&gt;"",$F970,$E970))</f>
        <v/>
      </c>
      <c r="H970" s="82">
        <f>IF($B970="","",TEXT($B970,"mmm yyyy"))</f>
        <v/>
      </c>
    </row>
    <row r="971" ht="18" customHeight="1">
      <c r="A971" s="14" t="n"/>
      <c r="B971" s="98" t="inlineStr">
        <is>
          <t>2026-06-27</t>
        </is>
      </c>
      <c r="C971" s="99" t="inlineStr">
        <is>
          <t>JEFFERSON'S OF JACKSON</t>
        </is>
      </c>
      <c r="D971" s="100" t="n">
        <v>31.99</v>
      </c>
      <c r="E971" s="101">
        <f>IF($C971="","",IFERROR(LOOKUP(2,1/((ISNUMBER(SEARCH('Category Rules'!$B$6:$B$125,$C971)))*('Category Rules'!$B$6:$B$125&lt;&gt;"")),'Category Rules'!$C$6:$C$125),"Uncategorized"))</f>
        <v/>
      </c>
      <c r="F971" s="108" t="n"/>
      <c r="G971" s="103">
        <f>IF($C971="","",IF($F971&lt;&gt;"",$F971,$E971))</f>
        <v/>
      </c>
      <c r="H971" s="85">
        <f>IF($B971="","",TEXT($B971,"mmm yyyy"))</f>
        <v/>
      </c>
    </row>
    <row r="972" ht="18" customHeight="1">
      <c r="A972" s="10" t="n"/>
      <c r="B972" s="98" t="inlineStr">
        <is>
          <t>2026-06-27</t>
        </is>
      </c>
      <c r="C972" s="99" t="inlineStr">
        <is>
          <t>WHATABURGER 1492</t>
        </is>
      </c>
      <c r="D972" s="100" t="n">
        <v>16.49</v>
      </c>
      <c r="E972" s="104">
        <f>IF($C972="","",IFERROR(LOOKUP(2,1/((ISNUMBER(SEARCH('Category Rules'!$B$6:$B$125,$C972)))*('Category Rules'!$B$6:$B$125&lt;&gt;"")),'Category Rules'!$C$6:$C$125),"Uncategorized"))</f>
        <v/>
      </c>
      <c r="F972" s="108" t="n"/>
      <c r="G972" s="106">
        <f>IF($C972="","",IF($F972&lt;&gt;"",$F972,$E972))</f>
        <v/>
      </c>
      <c r="H972" s="82">
        <f>IF($B972="","",TEXT($B972,"mmm yyyy"))</f>
        <v/>
      </c>
    </row>
    <row r="973" ht="18" customHeight="1">
      <c r="A973" s="14" t="n"/>
      <c r="B973" s="98" t="inlineStr">
        <is>
          <t>2026-06-27</t>
        </is>
      </c>
      <c r="C973" s="99" t="inlineStr">
        <is>
          <t>W. M. GROCERY</t>
        </is>
      </c>
      <c r="D973" s="100" t="n">
        <v>3.17</v>
      </c>
      <c r="E973" s="101">
        <f>IF($C973="","",IFERROR(LOOKUP(2,1/((ISNUMBER(SEARCH('Category Rules'!$B$6:$B$125,$C973)))*('Category Rules'!$B$6:$B$125&lt;&gt;"")),'Category Rules'!$C$6:$C$125),"Uncategorized"))</f>
        <v/>
      </c>
      <c r="F973" s="108" t="n"/>
      <c r="G973" s="103">
        <f>IF($C973="","",IF($F973&lt;&gt;"",$F973,$E973))</f>
        <v/>
      </c>
      <c r="H973" s="85">
        <f>IF($B973="","",TEXT($B973,"mmm yyyy"))</f>
        <v/>
      </c>
    </row>
    <row r="974" ht="18" customHeight="1">
      <c r="A974" s="10" t="n"/>
      <c r="B974" s="98" t="inlineStr">
        <is>
          <t>2026-06-28</t>
        </is>
      </c>
      <c r="C974" s="99" t="inlineStr">
        <is>
          <t>MARATHON 213512</t>
        </is>
      </c>
      <c r="D974" s="100" t="n">
        <v>15</v>
      </c>
      <c r="E974" s="104">
        <f>IF($C974="","",IFERROR(LOOKUP(2,1/((ISNUMBER(SEARCH('Category Rules'!$B$6:$B$125,$C974)))*('Category Rules'!$B$6:$B$125&lt;&gt;"")),'Category Rules'!$C$6:$C$125),"Uncategorized"))</f>
        <v/>
      </c>
      <c r="F974" s="108" t="n"/>
      <c r="G974" s="106">
        <f>IF($C974="","",IF($F974&lt;&gt;"",$F974,$E974))</f>
        <v/>
      </c>
      <c r="H974" s="82">
        <f>IF($B974="","",TEXT($B974,"mmm yyyy"))</f>
        <v/>
      </c>
    </row>
    <row r="975" ht="18" customHeight="1">
      <c r="A975" s="14" t="n"/>
      <c r="B975" s="98" t="inlineStr">
        <is>
          <t>2026-06-28</t>
        </is>
      </c>
      <c r="C975" s="99" t="inlineStr">
        <is>
          <t>DORSEY'S SUPERM</t>
        </is>
      </c>
      <c r="D975" s="100" t="n">
        <v>2.09</v>
      </c>
      <c r="E975" s="101">
        <f>IF($C975="","",IFERROR(LOOKUP(2,1/((ISNUMBER(SEARCH('Category Rules'!$B$6:$B$125,$C975)))*('Category Rules'!$B$6:$B$125&lt;&gt;"")),'Category Rules'!$C$6:$C$125),"Uncategorized"))</f>
        <v/>
      </c>
      <c r="F975" s="108" t="n"/>
      <c r="G975" s="103">
        <f>IF($C975="","",IF($F975&lt;&gt;"",$F975,$E975))</f>
        <v/>
      </c>
      <c r="H975" s="85">
        <f>IF($B975="","",TEXT($B975,"mmm yyyy"))</f>
        <v/>
      </c>
    </row>
    <row r="976" ht="18" customHeight="1">
      <c r="A976" s="10" t="n"/>
      <c r="B976" s="98" t="inlineStr">
        <is>
          <t>2026-06-28</t>
        </is>
      </c>
      <c r="C976" s="99" t="inlineStr">
        <is>
          <t>SITE358559 - TE</t>
        </is>
      </c>
      <c r="D976" s="100" t="n">
        <v>6.49</v>
      </c>
      <c r="E976" s="104">
        <f>IF($C976="","",IFERROR(LOOKUP(2,1/((ISNUMBER(SEARCH('Category Rules'!$B$6:$B$125,$C976)))*('Category Rules'!$B$6:$B$125&lt;&gt;"")),'Category Rules'!$C$6:$C$125),"Uncategorized"))</f>
        <v/>
      </c>
      <c r="F976" s="108" t="n"/>
      <c r="G976" s="106">
        <f>IF($C976="","",IF($F976&lt;&gt;"",$F976,$E976))</f>
        <v/>
      </c>
      <c r="H976" s="82">
        <f>IF($B976="","",TEXT($B976,"mmm yyyy"))</f>
        <v/>
      </c>
    </row>
    <row r="977" ht="18" customHeight="1">
      <c r="A977" s="14" t="n"/>
      <c r="B977" s="98" t="inlineStr">
        <is>
          <t>2026-06-28</t>
        </is>
      </c>
      <c r="C977" s="99" t="inlineStr">
        <is>
          <t>TST* ROCK N ROOSTER SA</t>
        </is>
      </c>
      <c r="D977" s="100" t="n">
        <v>20.86</v>
      </c>
      <c r="E977" s="101">
        <f>IF($C977="","",IFERROR(LOOKUP(2,1/((ISNUMBER(SEARCH('Category Rules'!$B$6:$B$125,$C977)))*('Category Rules'!$B$6:$B$125&lt;&gt;"")),'Category Rules'!$C$6:$C$125),"Uncategorized"))</f>
        <v/>
      </c>
      <c r="F977" s="108" t="n"/>
      <c r="G977" s="103">
        <f>IF($C977="","",IF($F977&lt;&gt;"",$F977,$E977))</f>
        <v/>
      </c>
      <c r="H977" s="85">
        <f>IF($B977="","",TEXT($B977,"mmm yyyy"))</f>
        <v/>
      </c>
    </row>
    <row r="978" ht="18" customHeight="1">
      <c r="A978" s="10" t="n"/>
      <c r="B978" s="98" t="inlineStr">
        <is>
          <t>2026-06-28</t>
        </is>
      </c>
      <c r="C978" s="99" t="inlineStr">
        <is>
          <t>PIC'N SAVE #248</t>
        </is>
      </c>
      <c r="D978" s="100" t="n">
        <v>2.46</v>
      </c>
      <c r="E978" s="104">
        <f>IF($C978="","",IFERROR(LOOKUP(2,1/((ISNUMBER(SEARCH('Category Rules'!$B$6:$B$125,$C978)))*('Category Rules'!$B$6:$B$125&lt;&gt;"")),'Category Rules'!$C$6:$C$125),"Uncategorized"))</f>
        <v/>
      </c>
      <c r="F978" s="108" t="n"/>
      <c r="G978" s="106">
        <f>IF($C978="","",IF($F978&lt;&gt;"",$F978,$E978))</f>
        <v/>
      </c>
      <c r="H978" s="82">
        <f>IF($B978="","",TEXT($B978,"mmm yyyy"))</f>
        <v/>
      </c>
    </row>
    <row r="979" ht="18" customHeight="1">
      <c r="A979" s="14" t="n"/>
      <c r="B979" s="98" t="inlineStr">
        <is>
          <t>2026-06-29</t>
        </is>
      </c>
      <c r="C979" s="99" t="inlineStr">
        <is>
          <t>PIC'N SAVE #248</t>
        </is>
      </c>
      <c r="D979" s="100" t="n">
        <v>1.97</v>
      </c>
      <c r="E979" s="101">
        <f>IF($C979="","",IFERROR(LOOKUP(2,1/((ISNUMBER(SEARCH('Category Rules'!$B$6:$B$125,$C979)))*('Category Rules'!$B$6:$B$125&lt;&gt;"")),'Category Rules'!$C$6:$C$125),"Uncategorized"))</f>
        <v/>
      </c>
      <c r="F979" s="108" t="n"/>
      <c r="G979" s="103">
        <f>IF($C979="","",IF($F979&lt;&gt;"",$F979,$E979))</f>
        <v/>
      </c>
      <c r="H979" s="85">
        <f>IF($B979="","",TEXT($B979,"mmm yyyy"))</f>
        <v/>
      </c>
    </row>
    <row r="980" ht="18" customHeight="1">
      <c r="A980" s="10" t="n"/>
      <c r="B980" s="98" t="inlineStr">
        <is>
          <t>2026-06-29</t>
        </is>
      </c>
      <c r="C980" s="99" t="inlineStr">
        <is>
          <t>JACK'S #203</t>
        </is>
      </c>
      <c r="D980" s="100" t="n">
        <v>10.02</v>
      </c>
      <c r="E980" s="104">
        <f>IF($C980="","",IFERROR(LOOKUP(2,1/((ISNUMBER(SEARCH('Category Rules'!$B$6:$B$125,$C980)))*('Category Rules'!$B$6:$B$125&lt;&gt;"")),'Category Rules'!$C$6:$C$125),"Uncategorized"))</f>
        <v/>
      </c>
      <c r="F980" s="108" t="n"/>
      <c r="G980" s="106">
        <f>IF($C980="","",IF($F980&lt;&gt;"",$F980,$E980))</f>
        <v/>
      </c>
      <c r="H980" s="82">
        <f>IF($B980="","",TEXT($B980,"mmm yyyy"))</f>
        <v/>
      </c>
    </row>
    <row r="981" ht="18" customHeight="1">
      <c r="A981" s="14" t="n"/>
      <c r="B981" s="98" t="inlineStr">
        <is>
          <t>2026-06-29</t>
        </is>
      </c>
      <c r="C981" s="99" t="inlineStr">
        <is>
          <t>JACK'S #200</t>
        </is>
      </c>
      <c r="D981" s="100" t="n">
        <v>9.33</v>
      </c>
      <c r="E981" s="101">
        <f>IF($C981="","",IFERROR(LOOKUP(2,1/((ISNUMBER(SEARCH('Category Rules'!$B$6:$B$125,$C981)))*('Category Rules'!$B$6:$B$125&lt;&gt;"")),'Category Rules'!$C$6:$C$125),"Uncategorized"))</f>
        <v/>
      </c>
      <c r="F981" s="108" t="n"/>
      <c r="G981" s="103">
        <f>IF($C981="","",IF($F981&lt;&gt;"",$F981,$E981))</f>
        <v/>
      </c>
      <c r="H981" s="85">
        <f>IF($B981="","",TEXT($B981,"mmm yyyy"))</f>
        <v/>
      </c>
    </row>
    <row r="982" ht="18" customHeight="1">
      <c r="A982" s="10" t="n"/>
      <c r="B982" s="98" t="inlineStr">
        <is>
          <t>2026-06-29</t>
        </is>
      </c>
      <c r="C982" s="99" t="inlineStr">
        <is>
          <t>JACK'S #200</t>
        </is>
      </c>
      <c r="D982" s="100" t="n">
        <v>12.52</v>
      </c>
      <c r="E982" s="104">
        <f>IF($C982="","",IFERROR(LOOKUP(2,1/((ISNUMBER(SEARCH('Category Rules'!$B$6:$B$125,$C982)))*('Category Rules'!$B$6:$B$125&lt;&gt;"")),'Category Rules'!$C$6:$C$125),"Uncategorized"))</f>
        <v/>
      </c>
      <c r="F982" s="108" t="n"/>
      <c r="G982" s="106">
        <f>IF($C982="","",IF($F982&lt;&gt;"",$F982,$E982))</f>
        <v/>
      </c>
      <c r="H982" s="82">
        <f>IF($B982="","",TEXT($B982,"mmm yyyy"))</f>
        <v/>
      </c>
    </row>
    <row r="983" ht="18" customHeight="1">
      <c r="A983" s="14" t="n"/>
      <c r="B983" s="98" t="inlineStr">
        <is>
          <t>2026-06-29</t>
        </is>
      </c>
      <c r="C983" s="99" t="inlineStr">
        <is>
          <t>PIC'N SAVE #248</t>
        </is>
      </c>
      <c r="D983" s="100" t="n">
        <v>7.1</v>
      </c>
      <c r="E983" s="101">
        <f>IF($C983="","",IFERROR(LOOKUP(2,1/((ISNUMBER(SEARCH('Category Rules'!$B$6:$B$125,$C983)))*('Category Rules'!$B$6:$B$125&lt;&gt;"")),'Category Rules'!$C$6:$C$125),"Uncategorized"))</f>
        <v/>
      </c>
      <c r="F983" s="108" t="n"/>
      <c r="G983" s="103">
        <f>IF($C983="","",IF($F983&lt;&gt;"",$F983,$E983))</f>
        <v/>
      </c>
      <c r="H983" s="85">
        <f>IF($B983="","",TEXT($B983,"mmm yyyy"))</f>
        <v/>
      </c>
    </row>
    <row r="984" ht="18" customHeight="1">
      <c r="A984" s="10" t="n"/>
      <c r="B984" s="109" t="n"/>
      <c r="C984" s="84" t="n"/>
      <c r="D984" s="52" t="n"/>
      <c r="E984" s="101">
        <f>IF($C984="","",IFERROR(LOOKUP(2,1/((ISNUMBER(SEARCH('Category Rules'!$B$6:$B$125,$C984)))*('Category Rules'!$B$6:$B$125&lt;&gt;"")),'Category Rules'!$C$6:$C$125),"Uncategorized"))</f>
        <v/>
      </c>
      <c r="F984" s="108" t="n"/>
      <c r="G984" s="103">
        <f>IF($C984="","",IF($F984&lt;&gt;"",$F984,$E984))</f>
        <v/>
      </c>
      <c r="H984" s="85">
        <f>IF($B984="","",TEXT($B984,"mmm yyyy"))</f>
        <v/>
      </c>
    </row>
    <row r="985" ht="18" customHeight="1">
      <c r="A985" s="14" t="n"/>
      <c r="B985" s="107" t="n"/>
      <c r="C985" s="81" t="n"/>
      <c r="D985" s="59" t="n"/>
      <c r="E985" s="104">
        <f>IF($C985="","",IFERROR(LOOKUP(2,1/((ISNUMBER(SEARCH('Category Rules'!$B$6:$B$125,$C985)))*('Category Rules'!$B$6:$B$125&lt;&gt;"")),'Category Rules'!$C$6:$C$125),"Uncategorized"))</f>
        <v/>
      </c>
      <c r="F985" s="108" t="n"/>
      <c r="G985" s="106">
        <f>IF($C985="","",IF($F985&lt;&gt;"",$F985,$E985))</f>
        <v/>
      </c>
      <c r="H985" s="82">
        <f>IF($B985="","",TEXT($B985,"mmm yyyy"))</f>
        <v/>
      </c>
    </row>
    <row r="986" ht="18" customHeight="1">
      <c r="A986" s="10" t="n"/>
      <c r="B986" s="109" t="n"/>
      <c r="C986" s="84" t="n"/>
      <c r="D986" s="52" t="n"/>
      <c r="E986" s="101">
        <f>IF($C986="","",IFERROR(LOOKUP(2,1/((ISNUMBER(SEARCH('Category Rules'!$B$6:$B$125,$C986)))*('Category Rules'!$B$6:$B$125&lt;&gt;"")),'Category Rules'!$C$6:$C$125),"Uncategorized"))</f>
        <v/>
      </c>
      <c r="F986" s="108" t="n"/>
      <c r="G986" s="103">
        <f>IF($C986="","",IF($F986&lt;&gt;"",$F986,$E986))</f>
        <v/>
      </c>
      <c r="H986" s="85">
        <f>IF($B986="","",TEXT($B986,"mmm yyyy"))</f>
        <v/>
      </c>
    </row>
    <row r="987" ht="18" customHeight="1">
      <c r="A987" s="14" t="n"/>
      <c r="B987" s="107" t="n"/>
      <c r="C987" s="81" t="n"/>
      <c r="D987" s="59" t="n"/>
      <c r="E987" s="104">
        <f>IF($C987="","",IFERROR(LOOKUP(2,1/((ISNUMBER(SEARCH('Category Rules'!$B$6:$B$125,$C987)))*('Category Rules'!$B$6:$B$125&lt;&gt;"")),'Category Rules'!$C$6:$C$125),"Uncategorized"))</f>
        <v/>
      </c>
      <c r="F987" s="108" t="n"/>
      <c r="G987" s="106">
        <f>IF($C987="","",IF($F987&lt;&gt;"",$F987,$E987))</f>
        <v/>
      </c>
      <c r="H987" s="82">
        <f>IF($B987="","",TEXT($B987,"mmm yyyy"))</f>
        <v/>
      </c>
    </row>
    <row r="988" ht="18" customHeight="1">
      <c r="A988" s="10" t="n"/>
      <c r="B988" s="109" t="n"/>
      <c r="C988" s="84" t="n"/>
      <c r="D988" s="52" t="n"/>
      <c r="E988" s="101">
        <f>IF($C988="","",IFERROR(LOOKUP(2,1/((ISNUMBER(SEARCH('Category Rules'!$B$6:$B$125,$C988)))*('Category Rules'!$B$6:$B$125&lt;&gt;"")),'Category Rules'!$C$6:$C$125),"Uncategorized"))</f>
        <v/>
      </c>
      <c r="F988" s="108" t="n"/>
      <c r="G988" s="103">
        <f>IF($C988="","",IF($F988&lt;&gt;"",$F988,$E988))</f>
        <v/>
      </c>
      <c r="H988" s="85">
        <f>IF($B988="","",TEXT($B988,"mmm yyyy"))</f>
        <v/>
      </c>
    </row>
    <row r="989" ht="18" customHeight="1">
      <c r="A989" s="14" t="n"/>
      <c r="B989" s="107" t="n"/>
      <c r="C989" s="81" t="n"/>
      <c r="D989" s="59" t="n"/>
      <c r="E989" s="104">
        <f>IF($C989="","",IFERROR(LOOKUP(2,1/((ISNUMBER(SEARCH('Category Rules'!$B$6:$B$125,$C989)))*('Category Rules'!$B$6:$B$125&lt;&gt;"")),'Category Rules'!$C$6:$C$125),"Uncategorized"))</f>
        <v/>
      </c>
      <c r="F989" s="108" t="n"/>
      <c r="G989" s="106">
        <f>IF($C989="","",IF($F989&lt;&gt;"",$F989,$E989))</f>
        <v/>
      </c>
      <c r="H989" s="82">
        <f>IF($B989="","",TEXT($B989,"mmm yyyy"))</f>
        <v/>
      </c>
    </row>
    <row r="990" ht="18" customHeight="1">
      <c r="A990" s="10" t="n"/>
      <c r="B990" s="109" t="n"/>
      <c r="C990" s="84" t="n"/>
      <c r="D990" s="52" t="n"/>
      <c r="E990" s="101">
        <f>IF($C990="","",IFERROR(LOOKUP(2,1/((ISNUMBER(SEARCH('Category Rules'!$B$6:$B$125,$C990)))*('Category Rules'!$B$6:$B$125&lt;&gt;"")),'Category Rules'!$C$6:$C$125),"Uncategorized"))</f>
        <v/>
      </c>
      <c r="F990" s="108" t="n"/>
      <c r="G990" s="103">
        <f>IF($C990="","",IF($F990&lt;&gt;"",$F990,$E990))</f>
        <v/>
      </c>
      <c r="H990" s="85">
        <f>IF($B990="","",TEXT($B990,"mmm yyyy"))</f>
        <v/>
      </c>
    </row>
    <row r="991" ht="18" customHeight="1">
      <c r="A991" s="14" t="n"/>
      <c r="B991" s="107" t="n"/>
      <c r="C991" s="81" t="n"/>
      <c r="D991" s="59" t="n"/>
      <c r="E991" s="104">
        <f>IF($C991="","",IFERROR(LOOKUP(2,1/((ISNUMBER(SEARCH('Category Rules'!$B$6:$B$125,$C991)))*('Category Rules'!$B$6:$B$125&lt;&gt;"")),'Category Rules'!$C$6:$C$125),"Uncategorized"))</f>
        <v/>
      </c>
      <c r="F991" s="108" t="n"/>
      <c r="G991" s="106">
        <f>IF($C991="","",IF($F991&lt;&gt;"",$F991,$E991))</f>
        <v/>
      </c>
      <c r="H991" s="82">
        <f>IF($B991="","",TEXT($B991,"mmm yyyy"))</f>
        <v/>
      </c>
    </row>
    <row r="992" ht="18" customHeight="1">
      <c r="A992" s="10" t="n"/>
      <c r="B992" s="109" t="n"/>
      <c r="C992" s="84" t="n"/>
      <c r="D992" s="52" t="n"/>
      <c r="E992" s="101">
        <f>IF($C992="","",IFERROR(LOOKUP(2,1/((ISNUMBER(SEARCH('Category Rules'!$B$6:$B$125,$C992)))*('Category Rules'!$B$6:$B$125&lt;&gt;"")),'Category Rules'!$C$6:$C$125),"Uncategorized"))</f>
        <v/>
      </c>
      <c r="F992" s="108" t="n"/>
      <c r="G992" s="103">
        <f>IF($C992="","",IF($F992&lt;&gt;"",$F992,$E992))</f>
        <v/>
      </c>
      <c r="H992" s="85">
        <f>IF($B992="","",TEXT($B992,"mmm yyyy"))</f>
        <v/>
      </c>
    </row>
    <row r="993" ht="18" customHeight="1">
      <c r="A993" s="14" t="n"/>
      <c r="B993" s="107" t="n"/>
      <c r="C993" s="81" t="n"/>
      <c r="D993" s="59" t="n"/>
      <c r="E993" s="104">
        <f>IF($C993="","",IFERROR(LOOKUP(2,1/((ISNUMBER(SEARCH('Category Rules'!$B$6:$B$125,$C993)))*('Category Rules'!$B$6:$B$125&lt;&gt;"")),'Category Rules'!$C$6:$C$125),"Uncategorized"))</f>
        <v/>
      </c>
      <c r="F993" s="108" t="n"/>
      <c r="G993" s="106">
        <f>IF($C993="","",IF($F993&lt;&gt;"",$F993,$E993))</f>
        <v/>
      </c>
      <c r="H993" s="82">
        <f>IF($B993="","",TEXT($B993,"mmm yyyy"))</f>
        <v/>
      </c>
    </row>
    <row r="994" ht="18" customHeight="1">
      <c r="A994" s="10" t="n"/>
      <c r="B994" s="109" t="n"/>
      <c r="C994" s="84" t="n"/>
      <c r="D994" s="52" t="n"/>
      <c r="E994" s="101">
        <f>IF($C994="","",IFERROR(LOOKUP(2,1/((ISNUMBER(SEARCH('Category Rules'!$B$6:$B$125,$C994)))*('Category Rules'!$B$6:$B$125&lt;&gt;"")),'Category Rules'!$C$6:$C$125),"Uncategorized"))</f>
        <v/>
      </c>
      <c r="F994" s="108" t="n"/>
      <c r="G994" s="103">
        <f>IF($C994="","",IF($F994&lt;&gt;"",$F994,$E994))</f>
        <v/>
      </c>
      <c r="H994" s="85">
        <f>IF($B994="","",TEXT($B994,"mmm yyyy"))</f>
        <v/>
      </c>
    </row>
    <row r="995" ht="18" customHeight="1">
      <c r="A995" s="14" t="n"/>
      <c r="B995" s="107" t="n"/>
      <c r="C995" s="81" t="n"/>
      <c r="D995" s="59" t="n"/>
      <c r="E995" s="104">
        <f>IF($C995="","",IFERROR(LOOKUP(2,1/((ISNUMBER(SEARCH('Category Rules'!$B$6:$B$125,$C995)))*('Category Rules'!$B$6:$B$125&lt;&gt;"")),'Category Rules'!$C$6:$C$125),"Uncategorized"))</f>
        <v/>
      </c>
      <c r="F995" s="108" t="n"/>
      <c r="G995" s="106">
        <f>IF($C995="","",IF($F995&lt;&gt;"",$F995,$E995))</f>
        <v/>
      </c>
      <c r="H995" s="82">
        <f>IF($B995="","",TEXT($B995,"mmm yyyy"))</f>
        <v/>
      </c>
    </row>
    <row r="996" ht="18" customHeight="1">
      <c r="A996" s="10" t="n"/>
      <c r="B996" s="109" t="n"/>
      <c r="C996" s="84" t="n"/>
      <c r="D996" s="52" t="n"/>
      <c r="E996" s="101">
        <f>IF($C996="","",IFERROR(LOOKUP(2,1/((ISNUMBER(SEARCH('Category Rules'!$B$6:$B$125,$C996)))*('Category Rules'!$B$6:$B$125&lt;&gt;"")),'Category Rules'!$C$6:$C$125),"Uncategorized"))</f>
        <v/>
      </c>
      <c r="F996" s="108" t="n"/>
      <c r="G996" s="103">
        <f>IF($C996="","",IF($F996&lt;&gt;"",$F996,$E996))</f>
        <v/>
      </c>
      <c r="H996" s="85">
        <f>IF($B996="","",TEXT($B996,"mmm yyyy"))</f>
        <v/>
      </c>
    </row>
    <row r="997" ht="18" customHeight="1">
      <c r="A997" s="14" t="n"/>
      <c r="B997" s="107" t="n"/>
      <c r="C997" s="81" t="n"/>
      <c r="D997" s="59" t="n"/>
      <c r="E997" s="104">
        <f>IF($C997="","",IFERROR(LOOKUP(2,1/((ISNUMBER(SEARCH('Category Rules'!$B$6:$B$125,$C997)))*('Category Rules'!$B$6:$B$125&lt;&gt;"")),'Category Rules'!$C$6:$C$125),"Uncategorized"))</f>
        <v/>
      </c>
      <c r="F997" s="108" t="n"/>
      <c r="G997" s="106">
        <f>IF($C997="","",IF($F997&lt;&gt;"",$F997,$E997))</f>
        <v/>
      </c>
      <c r="H997" s="82">
        <f>IF($B997="","",TEXT($B997,"mmm yyyy"))</f>
        <v/>
      </c>
    </row>
    <row r="998" ht="18" customHeight="1">
      <c r="A998" s="10" t="n"/>
      <c r="B998" s="109" t="n"/>
      <c r="C998" s="84" t="n"/>
      <c r="D998" s="52" t="n"/>
      <c r="E998" s="101">
        <f>IF($C998="","",IFERROR(LOOKUP(2,1/((ISNUMBER(SEARCH('Category Rules'!$B$6:$B$125,$C998)))*('Category Rules'!$B$6:$B$125&lt;&gt;"")),'Category Rules'!$C$6:$C$125),"Uncategorized"))</f>
        <v/>
      </c>
      <c r="F998" s="108" t="n"/>
      <c r="G998" s="103">
        <f>IF($C998="","",IF($F998&lt;&gt;"",$F998,$E998))</f>
        <v/>
      </c>
      <c r="H998" s="85">
        <f>IF($B998="","",TEXT($B998,"mmm yyyy"))</f>
        <v/>
      </c>
    </row>
    <row r="999" ht="18" customHeight="1">
      <c r="A999" s="14" t="n"/>
      <c r="B999" s="107" t="n"/>
      <c r="C999" s="81" t="n"/>
      <c r="D999" s="59" t="n"/>
      <c r="E999" s="104">
        <f>IF($C999="","",IFERROR(LOOKUP(2,1/((ISNUMBER(SEARCH('Category Rules'!$B$6:$B$125,$C999)))*('Category Rules'!$B$6:$B$125&lt;&gt;"")),'Category Rules'!$C$6:$C$125),"Uncategorized"))</f>
        <v/>
      </c>
      <c r="F999" s="108" t="n"/>
      <c r="G999" s="106">
        <f>IF($C999="","",IF($F999&lt;&gt;"",$F999,$E999))</f>
        <v/>
      </c>
      <c r="H999" s="82">
        <f>IF($B999="","",TEXT($B999,"mmm yyyy"))</f>
        <v/>
      </c>
    </row>
    <row r="1000" ht="18" customHeight="1">
      <c r="A1000" s="10" t="n"/>
      <c r="B1000" s="109" t="n"/>
      <c r="C1000" s="84" t="n"/>
      <c r="D1000" s="52" t="n"/>
      <c r="E1000" s="101">
        <f>IF($C1000="","",IFERROR(LOOKUP(2,1/((ISNUMBER(SEARCH('Category Rules'!$B$6:$B$125,$C1000)))*('Category Rules'!$B$6:$B$125&lt;&gt;"")),'Category Rules'!$C$6:$C$125),"Uncategorized"))</f>
        <v/>
      </c>
      <c r="F1000" s="108" t="n"/>
      <c r="G1000" s="103">
        <f>IF($C1000="","",IF($F1000&lt;&gt;"",$F1000,$E1000))</f>
        <v/>
      </c>
      <c r="H1000" s="85">
        <f>IF($B1000="","",TEXT($B1000,"mmm yyyy"))</f>
        <v/>
      </c>
    </row>
    <row r="1001" ht="18" customHeight="1">
      <c r="A1001" s="14" t="n"/>
      <c r="B1001" s="107" t="n"/>
      <c r="C1001" s="81" t="n"/>
      <c r="D1001" s="59" t="n"/>
      <c r="E1001" s="104">
        <f>IF($C1001="","",IFERROR(LOOKUP(2,1/((ISNUMBER(SEARCH('Category Rules'!$B$6:$B$125,$C1001)))*('Category Rules'!$B$6:$B$125&lt;&gt;"")),'Category Rules'!$C$6:$C$125),"Uncategorized"))</f>
        <v/>
      </c>
      <c r="F1001" s="108" t="n"/>
      <c r="G1001" s="106">
        <f>IF($C1001="","",IF($F1001&lt;&gt;"",$F1001,$E1001))</f>
        <v/>
      </c>
      <c r="H1001" s="82">
        <f>IF($B1001="","",TEXT($B1001,"mmm yyyy"))</f>
        <v/>
      </c>
    </row>
    <row r="1002" ht="18" customHeight="1">
      <c r="A1002" s="10" t="n"/>
      <c r="B1002" s="109" t="n"/>
      <c r="C1002" s="84" t="n"/>
      <c r="D1002" s="52" t="n"/>
      <c r="E1002" s="101">
        <f>IF($C1002="","",IFERROR(LOOKUP(2,1/((ISNUMBER(SEARCH('Category Rules'!$B$6:$B$125,$C1002)))*('Category Rules'!$B$6:$B$125&lt;&gt;"")),'Category Rules'!$C$6:$C$125),"Uncategorized"))</f>
        <v/>
      </c>
      <c r="F1002" s="108" t="n"/>
      <c r="G1002" s="103">
        <f>IF($C1002="","",IF($F1002&lt;&gt;"",$F1002,$E1002))</f>
        <v/>
      </c>
      <c r="H1002" s="85">
        <f>IF($B1002="","",TEXT($B1002,"mmm yyyy"))</f>
        <v/>
      </c>
    </row>
    <row r="1003" ht="18" customHeight="1">
      <c r="A1003" s="14" t="n"/>
      <c r="B1003" s="107" t="n"/>
      <c r="C1003" s="81" t="n"/>
      <c r="D1003" s="59" t="n"/>
      <c r="E1003" s="104">
        <f>IF($C1003="","",IFERROR(LOOKUP(2,1/((ISNUMBER(SEARCH('Category Rules'!$B$6:$B$125,$C1003)))*('Category Rules'!$B$6:$B$125&lt;&gt;"")),'Category Rules'!$C$6:$C$125),"Uncategorized"))</f>
        <v/>
      </c>
      <c r="F1003" s="108" t="n"/>
      <c r="G1003" s="106">
        <f>IF($C1003="","",IF($F1003&lt;&gt;"",$F1003,$E1003))</f>
        <v/>
      </c>
      <c r="H1003" s="82">
        <f>IF($B1003="","",TEXT($B1003,"mmm yyyy"))</f>
        <v/>
      </c>
    </row>
    <row r="1004" ht="18" customHeight="1">
      <c r="A1004" s="10" t="n"/>
      <c r="B1004" s="109" t="n"/>
      <c r="C1004" s="84" t="n"/>
      <c r="D1004" s="52" t="n"/>
      <c r="E1004" s="101">
        <f>IF($C1004="","",IFERROR(LOOKUP(2,1/((ISNUMBER(SEARCH('Category Rules'!$B$6:$B$125,$C1004)))*('Category Rules'!$B$6:$B$125&lt;&gt;"")),'Category Rules'!$C$6:$C$125),"Uncategorized"))</f>
        <v/>
      </c>
      <c r="F1004" s="108" t="n"/>
      <c r="G1004" s="103">
        <f>IF($C1004="","",IF($F1004&lt;&gt;"",$F1004,$E1004))</f>
        <v/>
      </c>
      <c r="H1004" s="85">
        <f>IF($B1004="","",TEXT($B1004,"mmm yyyy"))</f>
        <v/>
      </c>
    </row>
    <row r="1005" ht="18" customHeight="1">
      <c r="A1005" s="14" t="n"/>
      <c r="B1005" s="107" t="n"/>
      <c r="C1005" s="81" t="n"/>
      <c r="D1005" s="59" t="n"/>
      <c r="E1005" s="104">
        <f>IF($C1005="","",IFERROR(LOOKUP(2,1/((ISNUMBER(SEARCH('Category Rules'!$B$6:$B$125,$C1005)))*('Category Rules'!$B$6:$B$125&lt;&gt;"")),'Category Rules'!$C$6:$C$125),"Uncategorized"))</f>
        <v/>
      </c>
      <c r="F1005" s="108" t="n"/>
      <c r="G1005" s="106">
        <f>IF($C1005="","",IF($F1005&lt;&gt;"",$F1005,$E1005))</f>
        <v/>
      </c>
      <c r="H1005" s="82">
        <f>IF($B1005="","",TEXT($B1005,"mmm yyyy"))</f>
        <v/>
      </c>
    </row>
  </sheetData>
  <mergeCells count="3">
    <mergeCell ref="A3:H3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3" customWidth="1" min="3" max="3"/>
    <col width="13" customWidth="1" min="4" max="4"/>
    <col width="16" customWidth="1" min="5" max="5"/>
    <col width="2" customWidth="1" min="6" max="6"/>
  </cols>
  <sheetData>
    <row r="1" ht="32" customHeight="1">
      <c r="A1" s="41" t="inlineStr">
        <is>
          <t>MONTHLY ACTUALS vs TARGET</t>
        </is>
      </c>
    </row>
    <row r="2" ht="18" customHeight="1">
      <c r="A2" s="2" t="inlineStr">
        <is>
          <t>Type a month in the blue cell below → actuals pull from your pasted transactions automatically.</t>
        </is>
      </c>
    </row>
    <row r="3" ht="8" customHeight="1"/>
    <row r="4" ht="26" customHeight="1">
      <c r="B4" s="39" t="inlineStr">
        <is>
          <t>Month to view:</t>
        </is>
      </c>
      <c r="C4" s="110" t="inlineStr">
        <is>
          <t>Jun 2026</t>
        </is>
      </c>
      <c r="D4" s="57" t="inlineStr">
        <is>
          <t>(type like 'Jun 2026')</t>
        </is>
      </c>
    </row>
    <row r="5" ht="4" customHeight="1"/>
    <row r="6" ht="22" customHeight="1">
      <c r="B6" s="42" t="inlineStr">
        <is>
          <t>CATEGORY</t>
        </is>
      </c>
      <c r="C6" s="47" t="inlineStr">
        <is>
          <t>TARGET</t>
        </is>
      </c>
      <c r="D6" s="97" t="inlineStr">
        <is>
          <t>ACTUAL</t>
        </is>
      </c>
      <c r="E6" s="50" t="inlineStr">
        <is>
          <t>+ UNDER  /  − OVER</t>
        </is>
      </c>
    </row>
    <row r="7" ht="20" customHeight="1">
      <c r="B7" s="111" t="inlineStr">
        <is>
          <t>Power</t>
        </is>
      </c>
      <c r="C7" s="61" t="n">
        <v>453</v>
      </c>
      <c r="D7" s="112">
        <f>SUMIFS(Transactions!$D$6:$D$1005,Transactions!$G$6:$G$1005,$B7,Transactions!$H$6:$H$1005,$C$4)</f>
        <v/>
      </c>
      <c r="E7" s="73">
        <f>C7-D7</f>
        <v/>
      </c>
    </row>
    <row r="8" ht="20" customHeight="1">
      <c r="B8" s="113" t="inlineStr">
        <is>
          <t>Water</t>
        </is>
      </c>
      <c r="C8" s="54" t="n">
        <v>90</v>
      </c>
      <c r="D8" s="114">
        <f>SUMIFS(Transactions!$D$6:$D$1005,Transactions!$G$6:$G$1005,$B8,Transactions!$H$6:$H$1005,$C$4)</f>
        <v/>
      </c>
      <c r="E8" s="70">
        <f>C8-D8</f>
        <v/>
      </c>
    </row>
    <row r="9" ht="20" customHeight="1">
      <c r="B9" s="111" t="inlineStr">
        <is>
          <t>Internet</t>
        </is>
      </c>
      <c r="C9" s="61" t="n">
        <v>64</v>
      </c>
      <c r="D9" s="112">
        <f>SUMIFS(Transactions!$D$6:$D$1005,Transactions!$G$6:$G$1005,$B9,Transactions!$H$6:$H$1005,$C$4)</f>
        <v/>
      </c>
      <c r="E9" s="73">
        <f>C9-D9</f>
        <v/>
      </c>
    </row>
    <row r="10" ht="20" customHeight="1">
      <c r="B10" s="113" t="inlineStr">
        <is>
          <t>Trash</t>
        </is>
      </c>
      <c r="C10" s="54" t="n">
        <v>23</v>
      </c>
      <c r="D10" s="114">
        <f>SUMIFS(Transactions!$D$6:$D$1005,Transactions!$G$6:$G$1005,$B10,Transactions!$H$6:$H$1005,$C$4)</f>
        <v/>
      </c>
      <c r="E10" s="70">
        <f>C10-D10</f>
        <v/>
      </c>
    </row>
    <row r="11" ht="20" customHeight="1">
      <c r="B11" s="111" t="inlineStr">
        <is>
          <t>Gas</t>
        </is>
      </c>
      <c r="C11" s="61" t="n">
        <v>430</v>
      </c>
      <c r="D11" s="112">
        <f>SUMIFS(Transactions!$D$6:$D$1005,Transactions!$G$6:$G$1005,$B11,Transactions!$H$6:$H$1005,$C$4)</f>
        <v/>
      </c>
      <c r="E11" s="73">
        <f>C11-D11</f>
        <v/>
      </c>
    </row>
    <row r="12" ht="20" customHeight="1">
      <c r="B12" s="113" t="inlineStr">
        <is>
          <t>Groceries</t>
        </is>
      </c>
      <c r="C12" s="54" t="n">
        <v>400</v>
      </c>
      <c r="D12" s="114">
        <f>SUMIFS(Transactions!$D$6:$D$1005,Transactions!$G$6:$G$1005,$B12,Transactions!$H$6:$H$1005,$C$4)</f>
        <v/>
      </c>
      <c r="E12" s="70">
        <f>C12-D12</f>
        <v/>
      </c>
    </row>
    <row r="13" ht="20" customHeight="1">
      <c r="B13" s="111" t="inlineStr">
        <is>
          <t>Spending</t>
        </is>
      </c>
      <c r="C13" s="61" t="n">
        <v>500</v>
      </c>
      <c r="D13" s="112">
        <f>SUMIFS(Transactions!$D$6:$D$1005,Transactions!$G$6:$G$1005,$B13,Transactions!$H$6:$H$1005,$C$4)</f>
        <v/>
      </c>
      <c r="E13" s="73">
        <f>C13-D13</f>
        <v/>
      </c>
    </row>
    <row r="14" ht="24" customHeight="1">
      <c r="B14" s="115" t="inlineStr">
        <is>
          <t>TOTAL</t>
        </is>
      </c>
      <c r="C14" s="116">
        <f>SUM(C7:C13)</f>
        <v/>
      </c>
      <c r="D14" s="116">
        <f>SUM(D7:D13)</f>
        <v/>
      </c>
      <c r="E14" s="116">
        <f>C14-D14</f>
        <v/>
      </c>
    </row>
    <row r="16" ht="52" customHeight="1">
      <c r="A16" s="90" t="inlineStr">
        <is>
          <t>How it works: paste transactions on the Transactions tab → AUTO CAT fills from Category Rules → this table sums by category for the month you typed. Utilities (Water/Power/Internet/Trash) are tracked separately in bills.csv + Monthly Check-In. Green + UNDER means you're below target — any surplus on flex categories sweeps to savings.</t>
        </is>
      </c>
    </row>
  </sheetData>
  <mergeCells count="3">
    <mergeCell ref="A2:E2"/>
    <mergeCell ref="A16:E16"/>
    <mergeCell ref="A1:E1"/>
  </mergeCells>
  <conditionalFormatting sqref="E7:E1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2026-06-29T18:46:33Z</dcterms:created>
  <dcterms:modified xsi:type="dcterms:W3CDTF">2026-06-29T18:46:40Z</dcterms:modified>
</cp:coreProperties>
</file>