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 System" sheetId="1" state="visible" r:id="rId1"/>
    <sheet name="Monthly Check-In" sheetId="2" state="visible" r:id="rId2"/>
    <sheet name="Per Utility" sheetId="3" state="visible" r:id="rId3"/>
    <sheet name="Bill Calend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.00;[Red]-&quot;$&quot;#,##0.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64748B"/>
      <sz val="9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b val="1"/>
      <color rgb="001E293B"/>
      <sz val="10"/>
    </font>
    <font>
      <name val="Calibri"/>
      <b val="1"/>
      <color rgb="002563EB"/>
      <sz val="10"/>
    </font>
    <font>
      <name val="Calibri"/>
      <i val="1"/>
      <color rgb="002563EB"/>
      <sz val="9"/>
    </font>
    <font>
      <name val="Calibri"/>
      <b val="1"/>
      <color rgb="00FFFFFF"/>
      <sz val="16"/>
    </font>
    <font>
      <name val="Calibri"/>
      <b val="1"/>
      <color rgb="00FFFFFF"/>
      <sz val="9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color rgb="002563EB"/>
      <sz val="9"/>
    </font>
    <font>
      <name val="Calibri"/>
      <color rgb="0016A34A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64748B"/>
      <sz val="9"/>
    </font>
    <font>
      <name val="Calibri"/>
      <b val="1"/>
      <sz val="9"/>
    </font>
  </fonts>
  <fills count="1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2563EB"/>
      </patternFill>
    </fill>
    <fill>
      <patternFill patternType="solid">
        <fgColor rgb="00D97706"/>
      </patternFill>
    </fill>
    <fill>
      <patternFill patternType="solid">
        <fgColor rgb="0016A34A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DBEAFE"/>
      </patternFill>
    </fill>
    <fill>
      <patternFill patternType="solid">
        <fgColor rgb="000EA5E9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10B981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164" fontId="4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/>
    </xf>
    <xf numFmtId="164" fontId="5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4" borderId="0" pivotButton="0" quotePrefix="0" xfId="0"/>
    <xf numFmtId="0" fontId="3" fillId="6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7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164" fontId="5" fillId="9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left" vertical="center" wrapText="1"/>
    </xf>
    <xf numFmtId="0" fontId="4" fillId="10" borderId="0" applyAlignment="1" pivotButton="0" quotePrefix="0" xfId="0">
      <alignment horizontal="left" vertical="center"/>
    </xf>
    <xf numFmtId="164" fontId="4" fillId="10" borderId="0" applyAlignment="1" pivotButton="0" quotePrefix="0" xfId="0">
      <alignment horizontal="right" vertical="center"/>
    </xf>
    <xf numFmtId="0" fontId="2" fillId="10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left" vertical="center"/>
    </xf>
    <xf numFmtId="164" fontId="5" fillId="10" borderId="0" applyAlignment="1" pivotButton="0" quotePrefix="0" xfId="0">
      <alignment horizontal="right" vertical="center"/>
    </xf>
    <xf numFmtId="0" fontId="0" fillId="10" borderId="0" pivotButton="0" quotePrefix="0" xfId="0"/>
    <xf numFmtId="0" fontId="3" fillId="11" borderId="0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/>
    </xf>
    <xf numFmtId="164" fontId="5" fillId="12" borderId="0" applyAlignment="1" pivotButton="0" quotePrefix="0" xfId="0">
      <alignment horizontal="right" vertical="center"/>
    </xf>
    <xf numFmtId="0" fontId="2" fillId="12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4" fontId="0" fillId="3" borderId="0" applyAlignment="1" pivotButton="0" quotePrefix="0" xfId="0">
      <alignment horizontal="right" vertical="center"/>
    </xf>
    <xf numFmtId="0" fontId="6" fillId="13" borderId="0" applyAlignment="1" pivotButton="0" quotePrefix="0" xfId="0">
      <alignment horizontal="left" vertical="center"/>
    </xf>
    <xf numFmtId="164" fontId="6" fillId="13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165" fontId="5" fillId="1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164" fontId="5" fillId="4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9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9" fillId="17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9" fillId="18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4" fontId="10" fillId="4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4" fontId="13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164" fontId="10" fillId="3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166" fontId="10" fillId="3" borderId="0" applyAlignment="1" pivotButton="0" quotePrefix="0" xfId="0">
      <alignment horizontal="center" vertical="center"/>
    </xf>
    <xf numFmtId="164" fontId="13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1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/>
    </xf>
    <xf numFmtId="164" fontId="16" fillId="4" borderId="0" applyAlignment="1" pivotButton="0" quotePrefix="0" xfId="0">
      <alignment horizontal="center" vertical="center"/>
    </xf>
    <xf numFmtId="166" fontId="11" fillId="4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center" vertical="center"/>
    </xf>
    <xf numFmtId="166" fontId="11" fillId="3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164" fontId="17" fillId="3" borderId="0" applyAlignment="1" pivotButton="0" quotePrefix="0" xfId="0">
      <alignment horizontal="center" vertical="center"/>
    </xf>
    <xf numFmtId="166" fontId="17" fillId="3" borderId="0" applyAlignment="1" pivotButton="0" quotePrefix="0" xfId="0">
      <alignment horizontal="center" vertical="center"/>
    </xf>
    <xf numFmtId="0" fontId="15" fillId="15" borderId="0" applyAlignment="1" pivotButton="0" quotePrefix="0" xfId="0">
      <alignment horizontal="left" vertical="center"/>
    </xf>
    <xf numFmtId="0" fontId="15" fillId="16" borderId="0" applyAlignment="1" pivotButton="0" quotePrefix="0" xfId="0">
      <alignment horizontal="left" vertical="center"/>
    </xf>
    <xf numFmtId="0" fontId="15" fillId="17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065F46"/>
        <sz val="9"/>
      </font>
      <fill>
        <patternFill patternType="solid">
          <fgColor rgb="00DCFCE7"/>
        </patternFill>
      </fill>
    </dxf>
    <dxf>
      <font>
        <name val="Calibri"/>
        <b val="1"/>
        <color rgb="00991B1B"/>
        <sz val="9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40</row>
      <rowOff>0</rowOff>
    </from>
    <ext cx="6858000" cy="3143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6858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6477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89</row>
      <rowOff>0</rowOff>
    </from>
    <ext cx="6477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477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109</row>
      <rowOff>0</rowOff>
    </from>
    <ext cx="6477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36" customWidth="1" min="4" max="4"/>
  </cols>
  <sheetData>
    <row r="1" ht="40" customHeight="1">
      <c r="A1" s="1" t="inlineStr">
        <is>
          <t>THE SYSTEM — FIXED vs FLEX</t>
        </is>
      </c>
    </row>
    <row r="2" ht="18" customHeight="1">
      <c r="A2" s="2" t="inlineStr">
        <is>
          <t>Flex utilities run on 12 months of YOUR real data  ·  fixed bills run themselves</t>
        </is>
      </c>
    </row>
    <row r="4" ht="22" customHeight="1">
      <c r="A4" s="3" t="inlineStr">
        <is>
          <t>INCOME  (spendable)</t>
        </is>
      </c>
    </row>
    <row r="5" ht="20" customHeight="1">
      <c r="B5" s="4" t="inlineStr">
        <is>
          <t>Coca-Cola take-home</t>
        </is>
      </c>
      <c r="C5" s="5" t="n">
        <v>2560</v>
      </c>
      <c r="D5" s="6" t="inlineStr">
        <is>
          <t>Main job</t>
        </is>
      </c>
    </row>
    <row r="6" ht="20" customHeight="1">
      <c r="B6" s="4" t="inlineStr">
        <is>
          <t>Side work  ($15 × 8hr × 4d)</t>
        </is>
      </c>
      <c r="C6" s="5" t="n">
        <v>480</v>
      </c>
      <c r="D6" s="6" t="inlineStr">
        <is>
          <t>Variable — could flex up or down</t>
        </is>
      </c>
    </row>
    <row r="7" ht="20" customHeight="1">
      <c r="B7" s="4" t="inlineStr">
        <is>
          <t>Shane (rent + utility share)</t>
        </is>
      </c>
      <c r="C7" s="5" t="n">
        <v>628</v>
      </c>
      <c r="D7" s="6" t="inlineStr">
        <is>
          <t>⚠ AT RISK — see contingency below</t>
        </is>
      </c>
    </row>
    <row r="8" ht="20" customHeight="1">
      <c r="B8" s="7" t="inlineStr">
        <is>
          <t>TOTAL SPENDABLE</t>
        </is>
      </c>
      <c r="C8" s="8">
        <f>C5+C6+C7</f>
        <v/>
      </c>
      <c r="D8" s="9" t="n"/>
    </row>
    <row r="9" ht="20" customHeight="1">
      <c r="B9" s="4" t="inlineStr">
        <is>
          <t>Motus reimbursement  (~$372/mo)</t>
        </is>
      </c>
      <c r="C9" s="10" t="n"/>
      <c r="D9" s="6" t="inlineStr">
        <is>
          <t>NOT income — offsets commute gas; don't spend as fun money.</t>
        </is>
      </c>
    </row>
    <row r="10" ht="8" customHeight="1"/>
    <row r="11" ht="22" customHeight="1">
      <c r="A11" s="11" t="inlineStr">
        <is>
          <t>ACCOUNT 1 · FIXED  — auto-pay, set &amp; forget</t>
        </is>
      </c>
    </row>
    <row r="12" ht="20" customHeight="1">
      <c r="B12" s="12" t="inlineStr">
        <is>
          <t>Mortgage</t>
        </is>
      </c>
      <c r="C12" s="13" t="n">
        <v>837</v>
      </c>
      <c r="D12" s="14" t="n"/>
    </row>
    <row r="13" ht="20" customHeight="1">
      <c r="B13" s="4" t="inlineStr">
        <is>
          <t>House insurance</t>
        </is>
      </c>
      <c r="C13" s="5" t="n">
        <v>190</v>
      </c>
      <c r="D13" s="10" t="n"/>
    </row>
    <row r="14" ht="20" customHeight="1">
      <c r="B14" s="12" t="inlineStr">
        <is>
          <t>Auto insurance</t>
        </is>
      </c>
      <c r="C14" s="13" t="n">
        <v>79</v>
      </c>
      <c r="D14" s="14" t="n"/>
    </row>
    <row r="15" ht="20" customHeight="1">
      <c r="B15" s="4" t="inlineStr">
        <is>
          <t>Property tax  (set-aside)</t>
        </is>
      </c>
      <c r="C15" s="5" t="n">
        <v>54</v>
      </c>
      <c r="D15" s="10" t="n"/>
    </row>
    <row r="16" ht="20" customHeight="1">
      <c r="B16" s="12" t="inlineStr">
        <is>
          <t>Phone</t>
        </is>
      </c>
      <c r="C16" s="13" t="n">
        <v>55</v>
      </c>
      <c r="D16" s="14" t="n"/>
    </row>
    <row r="17" ht="20" customHeight="1">
      <c r="B17" s="7" t="inlineStr">
        <is>
          <t>FIXED TOTAL</t>
        </is>
      </c>
      <c r="C17" s="8">
        <f>SUM(C12:C16)</f>
        <v/>
      </c>
      <c r="D17" s="9" t="n"/>
    </row>
    <row r="18" ht="8" customHeight="1"/>
    <row r="19" ht="22" customHeight="1">
      <c r="A19" s="15" t="inlineStr">
        <is>
          <t>ACCOUNT 2 · FLEX  — fund $630 flat every month</t>
        </is>
      </c>
    </row>
    <row r="20" ht="20" customHeight="1">
      <c r="B20" s="12" t="inlineStr">
        <is>
          <t>Water  (avg + 1 SD, 12-mo data)</t>
        </is>
      </c>
      <c r="C20" s="13" t="n">
        <v>90</v>
      </c>
      <c r="D20" s="16" t="inlineStr">
        <is>
          <t>~$45 is a leak hedge — if leak confirmed fixed, drop to $45 and free $45/mo</t>
        </is>
      </c>
    </row>
    <row r="21" ht="20" customHeight="1">
      <c r="B21" s="4" t="inlineStr">
        <is>
          <t>Power  (avg + 1 SD — peaks Jan/Jul)</t>
        </is>
      </c>
      <c r="C21" s="5" t="n">
        <v>453</v>
      </c>
      <c r="D21" s="6" t="inlineStr">
        <is>
          <t>Strong seasonal pattern; flat funding + buffer absorbs swings</t>
        </is>
      </c>
    </row>
    <row r="22" ht="20" customHeight="1">
      <c r="B22" s="12" t="inlineStr">
        <is>
          <t>Internet  (hedge for promo expiry)</t>
        </is>
      </c>
      <c r="C22" s="13" t="n">
        <v>64</v>
      </c>
      <c r="D22" s="16" t="inlineStr">
        <is>
          <t>Currently $24.95/mo promo — ~$39/mo sweeps to savings until rate changes</t>
        </is>
      </c>
    </row>
    <row r="23" ht="20" customHeight="1">
      <c r="B23" s="4" t="inlineStr">
        <is>
          <t>Trash</t>
        </is>
      </c>
      <c r="C23" s="5" t="n">
        <v>23</v>
      </c>
      <c r="D23" s="10" t="n"/>
    </row>
    <row r="24" ht="20" customHeight="1">
      <c r="B24" s="7" t="inlineStr">
        <is>
          <t>UTILITIES SUBTOTAL  (fund flat)</t>
        </is>
      </c>
      <c r="C24" s="8">
        <f>SUM(C20:C23)</f>
        <v/>
      </c>
      <c r="D24" s="9" t="n"/>
    </row>
    <row r="25" ht="20" customHeight="1">
      <c r="B25" s="12" t="inlineStr">
        <is>
          <t>Gas  (commute, est.)</t>
        </is>
      </c>
      <c r="C25" s="13" t="n">
        <v>430</v>
      </c>
      <c r="D25" s="16" t="inlineStr">
        <is>
          <t>Motus ~$372 offsets; real net gas ≈ $58</t>
        </is>
      </c>
    </row>
    <row r="26" ht="20" customHeight="1">
      <c r="B26" s="4" t="inlineStr">
        <is>
          <t>Groceries  (est.)</t>
        </is>
      </c>
      <c r="C26" s="5" t="n">
        <v>400</v>
      </c>
      <c r="D26" s="10" t="n"/>
    </row>
    <row r="27" ht="20" customHeight="1">
      <c r="B27" s="7" t="inlineStr">
        <is>
          <t>FLEX TOTAL</t>
        </is>
      </c>
      <c r="C27" s="8">
        <f>C24+430+400</f>
        <v/>
      </c>
      <c r="D27" s="9" t="n"/>
    </row>
    <row r="28" ht="20" customHeight="1">
      <c r="B28" s="12" t="inlineStr">
        <is>
          <t>⚓  Standing buffer  (never sweep)</t>
        </is>
      </c>
      <c r="C28" s="13" t="n">
        <v>167.63</v>
      </c>
      <c r="D28" s="16" t="inlineStr">
        <is>
          <t>Absorbs worst single month across all utilities simultaneously</t>
        </is>
      </c>
    </row>
    <row r="29" ht="8" customHeight="1"/>
    <row r="30" ht="22" customHeight="1">
      <c r="A30" s="17" t="inlineStr">
        <is>
          <t>LEFTOVER  →  splits to savings + spending</t>
        </is>
      </c>
    </row>
    <row r="31" ht="20" customHeight="1">
      <c r="B31" s="7" t="inlineStr">
        <is>
          <t>Leftover after fixed + flex</t>
        </is>
      </c>
      <c r="C31" s="8">
        <f>C8-C17-C27</f>
        <v/>
      </c>
      <c r="D31" s="9" t="n"/>
    </row>
    <row r="32" ht="20" customHeight="1">
      <c r="B32" s="18" t="inlineStr">
        <is>
          <t>⚠  If Shane's $628 stops → leftover</t>
        </is>
      </c>
      <c r="C32" s="19">
        <f>C31-628</f>
        <v/>
      </c>
      <c r="D32" s="20" t="inlineStr">
        <is>
          <t>PLAN AROUND THIS NUMBER  ·  treat Shane's $628 as a savings bonus if it comes</t>
        </is>
      </c>
    </row>
    <row r="33" ht="8" customHeight="1"/>
    <row r="34" ht="22" customHeight="1">
      <c r="A34" s="3" t="inlineStr">
        <is>
          <t>ACCOUNTS 3 + 4 · SPENDING + SAVINGS</t>
        </is>
      </c>
    </row>
    <row r="35" ht="20" customHeight="1">
      <c r="B35" s="12" t="inlineStr">
        <is>
          <t>SPENDING — AOD card  (monthly load)</t>
        </is>
      </c>
      <c r="C35" s="13" t="n">
        <v>500</v>
      </c>
      <c r="D35" s="16" t="inlineStr">
        <is>
          <t>Only card in your wallet. Balance = your tracker. Lower this to save more.</t>
        </is>
      </c>
    </row>
    <row r="36" ht="20" customHeight="1">
      <c r="B36" s="21" t="inlineStr">
        <is>
          <t>SAVINGS — SoFi Vaults  (what's left)</t>
        </is>
      </c>
      <c r="C36" s="22">
        <f>C31-C35</f>
        <v/>
      </c>
      <c r="D36" s="23" t="inlineStr">
        <is>
          <t>Emergency Fund + Move/Career Fund  ·  paid FIRST on payday</t>
        </is>
      </c>
    </row>
    <row r="37" ht="8" customHeight="1"/>
    <row r="38" ht="22" customHeight="1">
      <c r="A38" s="17" t="inlineStr">
        <is>
          <t>BUILT-IN PADDING (sweeps to savings automatically)</t>
        </is>
      </c>
    </row>
    <row r="39" ht="20" customHeight="1">
      <c r="B39" s="12" t="inlineStr">
        <is>
          <t>Water leak hedge  (if leak fixed, reclaim)</t>
        </is>
      </c>
      <c r="C39" s="13" t="n">
        <v>45</v>
      </c>
      <c r="D39" s="16" t="inlineStr">
        <is>
          <t>Run: python analyze.py exclude Water 2026-04 / 2026-06 to recalculate</t>
        </is>
      </c>
    </row>
    <row r="40" ht="20" customHeight="1">
      <c r="B40" s="4" t="inlineStr">
        <is>
          <t>Internet promo surplus  (~$39/mo right now)</t>
        </is>
      </c>
      <c r="C40" s="5" t="n">
        <v>39</v>
      </c>
      <c r="D40" s="6" t="inlineStr">
        <is>
          <t>Sweeps automatically until rate changes</t>
        </is>
      </c>
    </row>
    <row r="41" ht="20" customHeight="1">
      <c r="B41" s="24" t="inlineStr">
        <is>
          <t>Hidden savings in flex (approx.)</t>
        </is>
      </c>
      <c r="C41" s="25">
        <f>C39+C40</f>
        <v/>
      </c>
      <c r="D41" s="26" t="n"/>
    </row>
    <row r="42" ht="8" customHeight="1"/>
    <row r="43" ht="22" customHeight="1">
      <c r="A43" s="27" t="inlineStr">
        <is>
          <t>SELF-EMPLOYMENT TAX RESERVE  (1099 side work)</t>
        </is>
      </c>
    </row>
    <row r="44" ht="20" customHeight="1">
      <c r="B44" s="12" t="inlineStr">
        <is>
          <t>Side work gross  (from income above)</t>
        </is>
      </c>
      <c r="C44" s="13">
        <f>C6</f>
        <v/>
      </c>
      <c r="D44" s="16" t="inlineStr">
        <is>
          <t>1099 — no taxes withheld; this must come out before you touch the money</t>
        </is>
      </c>
    </row>
    <row r="45" ht="20" customHeight="1">
      <c r="B45" s="28" t="inlineStr">
        <is>
          <t>Monthly reserve  (28% — SE tax 15.3% + income tax est.)</t>
        </is>
      </c>
      <c r="C45" s="29">
        <f>C44*0.28</f>
        <v/>
      </c>
      <c r="D45" s="30" t="inlineStr">
        <is>
          <t>Transfer on every payday before spending any side income</t>
        </is>
      </c>
    </row>
    <row r="46" ht="20" customHeight="1">
      <c r="B46" s="12" t="inlineStr">
        <is>
          <t>True spendable from side work</t>
        </is>
      </c>
      <c r="C46" s="13">
        <f>C44-C45</f>
        <v/>
      </c>
      <c r="D46" s="16" t="inlineStr">
        <is>
          <t>What's actually yours after the tax reserve is parked</t>
        </is>
      </c>
    </row>
    <row r="47" ht="8" customHeight="1"/>
    <row r="48" ht="22" customHeight="1">
      <c r="A48" s="15" t="inlineStr">
        <is>
          <t>SINKING FUNDS  — annual / irregular costs ÷ 12</t>
        </is>
      </c>
    </row>
    <row r="49" ht="20" customHeight="1">
      <c r="B49" s="12" t="inlineStr">
        <is>
          <t>Truck maintenance  (1999 Silverado, self-maintained)</t>
        </is>
      </c>
      <c r="C49" s="13" t="n">
        <v>75</v>
      </c>
      <c r="D49" s="16" t="inlineStr">
        <is>
          <t>~$900/yr est. · adjust to your history</t>
        </is>
      </c>
    </row>
    <row r="50" ht="20" customHeight="1">
      <c r="B50" s="4" t="inlineStr">
        <is>
          <t>Vehicle registration  (AL, annual)</t>
        </is>
      </c>
      <c r="C50" s="5" t="n">
        <v>17</v>
      </c>
      <c r="D50" s="6" t="inlineStr">
        <is>
          <t>~$200/yr ÷ 12</t>
        </is>
      </c>
    </row>
    <row r="51" ht="20" customHeight="1">
      <c r="B51" s="12" t="inlineStr">
        <is>
          <t>Annual insurance premiums  (if any lump-sum)</t>
        </is>
      </c>
      <c r="C51" s="13" t="n">
        <v>0</v>
      </c>
      <c r="D51" s="16" t="inlineStr">
        <is>
          <t>$0 if already paying monthly — update if any biller charges annually</t>
        </is>
      </c>
    </row>
    <row r="52" ht="20" customHeight="1">
      <c r="B52" s="7" t="inlineStr">
        <is>
          <t>SINKING TOTAL  — set aside monthly</t>
        </is>
      </c>
      <c r="C52" s="8">
        <f>SUM(C49:C51)</f>
        <v/>
      </c>
      <c r="D52" s="31" t="inlineStr">
        <is>
          <t>Park in a labeled savings vault; pull from it when the bill hits</t>
        </is>
      </c>
    </row>
    <row r="53" ht="8" customHeight="1"/>
    <row r="54" ht="22" customHeight="1">
      <c r="A54" s="11" t="inlineStr">
        <is>
          <t>INCOME TRAJECTORY  — current effective wage → target</t>
        </is>
      </c>
    </row>
    <row r="55" ht="20" customHeight="1">
      <c r="B55" s="12" t="inlineStr">
        <is>
          <t>Current effective wage  (50hr wk + 7hr commute)</t>
        </is>
      </c>
      <c r="C55" s="32" t="n">
        <v>11.81</v>
      </c>
      <c r="D55" s="16" t="inlineStr">
        <is>
          <t>$2,560 take-home ÷ ~217 hrs/mo (50hr work + 7hr commute = ~7hr/day)</t>
        </is>
      </c>
    </row>
    <row r="56" ht="20" customHeight="1">
      <c r="B56" s="4" t="inlineStr">
        <is>
          <t>Current monthly take-home  (Coke only)</t>
        </is>
      </c>
      <c r="C56" s="5" t="n">
        <v>2560</v>
      </c>
      <c r="D56" s="6" t="inlineStr">
        <is>
          <t>Baseline — side work net is on top of this</t>
        </is>
      </c>
    </row>
    <row r="57" ht="20" customHeight="1">
      <c r="B57" s="12" t="inlineStr">
        <is>
          <t>Target wage after retraining  ($20–25/hr, $22 midpoint)</t>
        </is>
      </c>
      <c r="C57" s="32" t="n">
        <v>22</v>
      </c>
      <c r="D57" s="16" t="inlineStr">
        <is>
          <t>Midpoint of stated $20–25/hr range</t>
        </is>
      </c>
    </row>
    <row r="58" ht="20" customHeight="1">
      <c r="B58" s="4" t="inlineStr">
        <is>
          <t>Est. take-home at $22/hr  (40hr/wk, ~72% net)</t>
        </is>
      </c>
      <c r="C58" s="5">
        <f>22*40*52/12*0.72</f>
        <v/>
      </c>
      <c r="D58" s="6" t="inlineStr">
        <is>
          <t>Rough estimate — actual varies by deductions</t>
        </is>
      </c>
    </row>
    <row r="59" ht="20" customHeight="1">
      <c r="B59" s="24" t="inlineStr">
        <is>
          <t>Monthly income gain at target</t>
        </is>
      </c>
      <c r="C59" s="25">
        <f>C58-C56</f>
        <v/>
      </c>
      <c r="D59" s="23" t="inlineStr">
        <is>
          <t>Extra per month once you land the better role</t>
        </is>
      </c>
    </row>
    <row r="60" ht="8" customHeight="1"/>
    <row r="61" ht="22" customHeight="1">
      <c r="A61" s="17" t="inlineStr">
        <is>
          <t>SAVINGS GOALS  (sequential — ① Emergency Fund first)</t>
        </is>
      </c>
    </row>
    <row r="62" ht="22" customHeight="1">
      <c r="A62" s="33" t="inlineStr">
        <is>
          <t>Current savings balance  ← UPDATE THIS INPUT</t>
        </is>
      </c>
      <c r="C62" s="34" t="n">
        <v>0</v>
      </c>
      <c r="D62" s="35" t="inlineStr">
        <is>
          <t>Blue = input cell  ·  enter your actual savings balance here</t>
        </is>
      </c>
    </row>
    <row r="63" ht="6" customHeight="1"/>
    <row r="64" ht="20" customHeight="1">
      <c r="B64" s="36" t="inlineStr">
        <is>
          <t>① EMERGENCY FUND — target</t>
        </is>
      </c>
      <c r="C64" s="37" t="n">
        <v>7000</v>
      </c>
      <c r="D64" s="14" t="n"/>
    </row>
    <row r="65" ht="20" customHeight="1">
      <c r="B65" s="12" t="inlineStr">
        <is>
          <t xml:space="preserve">   Current  (from balance above)</t>
        </is>
      </c>
      <c r="C65" s="13">
        <f>MIN(C62,7000)</f>
        <v/>
      </c>
      <c r="D65" s="14" t="n"/>
    </row>
    <row r="66" ht="20" customHeight="1">
      <c r="B66" s="12" t="inlineStr">
        <is>
          <t xml:space="preserve">   Remaining</t>
        </is>
      </c>
      <c r="C66" s="13">
        <f>MAX(0,C64-C65)</f>
        <v/>
      </c>
      <c r="D66" s="14" t="n"/>
    </row>
    <row r="67" ht="20" customHeight="1">
      <c r="B67" s="24" t="inlineStr">
        <is>
          <t xml:space="preserve">   % Complete</t>
        </is>
      </c>
      <c r="C67" s="38">
        <f>IFERROR(C65/C64,0)</f>
        <v/>
      </c>
      <c r="D67" s="26" t="n"/>
    </row>
    <row r="68" ht="6" customHeight="1"/>
    <row r="69" ht="20" customHeight="1">
      <c r="B69" s="39" t="inlineStr">
        <is>
          <t>② SEPTIC FUND — target  (starts after EF hits $7,000)</t>
        </is>
      </c>
      <c r="C69" s="40" t="n">
        <v>7285</v>
      </c>
      <c r="D69" s="10" t="n"/>
    </row>
    <row r="70" ht="20" customHeight="1">
      <c r="B70" s="4" t="inlineStr">
        <is>
          <t xml:space="preserve">   Current  (balance above − $7,000 EF)</t>
        </is>
      </c>
      <c r="C70" s="5">
        <f>MAX(0,C62-7000)</f>
        <v/>
      </c>
      <c r="D70" s="10" t="n"/>
    </row>
    <row r="71" ht="20" customHeight="1">
      <c r="B71" s="12" t="inlineStr">
        <is>
          <t xml:space="preserve">   Remaining</t>
        </is>
      </c>
      <c r="C71" s="13">
        <f>MAX(0,C69-C70)</f>
        <v/>
      </c>
      <c r="D71" s="14" t="n"/>
    </row>
    <row r="72" ht="20" customHeight="1">
      <c r="B72" s="24" t="inlineStr">
        <is>
          <t xml:space="preserve">   % Complete</t>
        </is>
      </c>
      <c r="C72" s="38">
        <f>IFERROR(C70/C69,0)</f>
        <v/>
      </c>
      <c r="D72" s="26" t="n"/>
    </row>
    <row r="73" ht="8" customHeight="1"/>
    <row r="74" ht="22" customHeight="1">
      <c r="A74" s="3" t="inlineStr">
        <is>
          <t>REVISED MONTHLY PICTURE  (after tax reserve + sinking funds)</t>
        </is>
      </c>
    </row>
    <row r="75" ht="20" customHeight="1">
      <c r="B75" s="12" t="inlineStr">
        <is>
          <t>Gross leftover  (after fixed + flex)</t>
        </is>
      </c>
      <c r="C75" s="13">
        <f>C31</f>
        <v/>
      </c>
      <c r="D75" s="14" t="n"/>
    </row>
    <row r="76" ht="20" customHeight="1">
      <c r="B76" s="4" t="inlineStr">
        <is>
          <t xml:space="preserve">  Less: SE tax reserve</t>
        </is>
      </c>
      <c r="C76" s="5">
        <f>-C45</f>
        <v/>
      </c>
      <c r="D76" s="10" t="n"/>
    </row>
    <row r="77" ht="20" customHeight="1">
      <c r="B77" s="12" t="inlineStr">
        <is>
          <t xml:space="preserve">  Less: sinking funds</t>
        </is>
      </c>
      <c r="C77" s="13">
        <f>-C52</f>
        <v/>
      </c>
      <c r="D77" s="14" t="n"/>
    </row>
    <row r="78" ht="20" customHeight="1">
      <c r="B78" s="7" t="inlineStr">
        <is>
          <t>TRUE MONTHLY AVAILABLE</t>
        </is>
      </c>
      <c r="C78" s="8">
        <f>C31-C45-C52</f>
        <v/>
      </c>
      <c r="D78" s="9" t="n"/>
    </row>
    <row r="79" ht="20" customHeight="1">
      <c r="B79" s="18" t="inlineStr">
        <is>
          <t xml:space="preserve">  If Shane's $628 stops → true available</t>
        </is>
      </c>
      <c r="C79" s="19">
        <f>C78-628</f>
        <v/>
      </c>
      <c r="D79" s="20" t="inlineStr">
        <is>
          <t>Hard number — build the system around this floor</t>
        </is>
      </c>
    </row>
  </sheetData>
  <mergeCells count="14">
    <mergeCell ref="A1:D1"/>
    <mergeCell ref="A62:B62"/>
    <mergeCell ref="A61:D61"/>
    <mergeCell ref="A74:D74"/>
    <mergeCell ref="A11:D11"/>
    <mergeCell ref="A34:D34"/>
    <mergeCell ref="A4:D4"/>
    <mergeCell ref="A48:D48"/>
    <mergeCell ref="A30:D30"/>
    <mergeCell ref="A38:D38"/>
    <mergeCell ref="A54:D54"/>
    <mergeCell ref="A43:D43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9" customWidth="1" min="5" max="5"/>
    <col width="13" customWidth="1" min="6" max="6"/>
    <col width="10" customWidth="1" min="7" max="7"/>
    <col width="14" customWidth="1" min="8" max="8"/>
    <col width="14" customWidth="1" min="9" max="9"/>
    <col width="13" customWidth="1" min="10" max="10"/>
    <col width="22" customWidth="1" min="11" max="11"/>
  </cols>
  <sheetData>
    <row r="1" ht="34" customHeight="1">
      <c r="A1" s="41" t="inlineStr">
        <is>
          <t>MONTHLY CHECK-IN &amp; SWEEP LOG</t>
        </is>
      </c>
    </row>
    <row r="2" ht="18" customHeight="1">
      <c r="A2" s="2" t="inlineStr">
        <is>
          <t>Fund $630 flat every month · fill in actual bills · green = surplus sweep to savings · red = buffer drawn</t>
        </is>
      </c>
    </row>
    <row r="4" ht="28" customHeight="1">
      <c r="A4" s="42" t="inlineStr">
        <is>
          <t>Month</t>
        </is>
      </c>
      <c r="B4" s="43" t="inlineStr">
        <is>
          <t>Water</t>
        </is>
      </c>
      <c r="C4" s="44" t="inlineStr">
        <is>
          <t>Power</t>
        </is>
      </c>
      <c r="D4" s="45" t="inlineStr">
        <is>
          <t>Internet</t>
        </is>
      </c>
      <c r="E4" s="46" t="inlineStr">
        <is>
          <t>Trash</t>
        </is>
      </c>
      <c r="F4" s="42" t="inlineStr">
        <is>
          <t>Total Actual</t>
        </is>
      </c>
      <c r="G4" s="47" t="inlineStr">
        <is>
          <t>Funded</t>
        </is>
      </c>
      <c r="H4" s="48" t="inlineStr">
        <is>
          <t>Net  (+/−)</t>
        </is>
      </c>
      <c r="I4" s="49" t="inlineStr">
        <is>
          <t>Buffer Bal</t>
        </is>
      </c>
      <c r="J4" s="50" t="inlineStr">
        <is>
          <t>→ Savings</t>
        </is>
      </c>
      <c r="K4" s="42" t="inlineStr">
        <is>
          <t>Notes</t>
        </is>
      </c>
    </row>
    <row r="5" ht="20" customHeight="1">
      <c r="A5" s="51" t="inlineStr">
        <is>
          <t>Jun '25</t>
        </is>
      </c>
      <c r="B5" s="52" t="n">
        <v>22.5</v>
      </c>
      <c r="C5" s="52" t="n">
        <v>368.62</v>
      </c>
      <c r="D5" s="52" t="n">
        <v>42.97</v>
      </c>
      <c r="E5" s="52" t="n">
        <v>21.37</v>
      </c>
      <c r="F5" s="53">
        <f>IFERROR(SUM(B5:E5),"")</f>
        <v/>
      </c>
      <c r="G5" s="54" t="n">
        <v>630</v>
      </c>
      <c r="H5" s="55">
        <f>IFERROR(G5-F5,"")</f>
        <v/>
      </c>
      <c r="I5" s="52">
        <f>IFERROR(MAX(0,MIN(167.63,167.63+H5)),"")</f>
        <v/>
      </c>
      <c r="J5" s="56">
        <f>IFERROR(MAX(0,H5-MAX(0,167.63-167.63)),"")</f>
        <v/>
      </c>
      <c r="K5" s="57" t="n"/>
    </row>
    <row r="6" ht="20" customHeight="1">
      <c r="A6" s="58" t="inlineStr">
        <is>
          <t>Jul '25</t>
        </is>
      </c>
      <c r="B6" s="59" t="n">
        <v>28.32</v>
      </c>
      <c r="C6" s="59" t="n">
        <v>440.17</v>
      </c>
      <c r="D6" s="59" t="n">
        <v>42.98</v>
      </c>
      <c r="E6" s="59" t="n">
        <v>24.77</v>
      </c>
      <c r="F6" s="60">
        <f>IFERROR(SUM(B6:E6),"")</f>
        <v/>
      </c>
      <c r="G6" s="61" t="n">
        <v>630</v>
      </c>
      <c r="H6" s="62">
        <f>IFERROR(G6-F6,"")</f>
        <v/>
      </c>
      <c r="I6" s="59">
        <f>IFERROR(MAX(0,MIN(167.63,I5+H6)),"")</f>
        <v/>
      </c>
      <c r="J6" s="63">
        <f>IFERROR(MAX(0,H6-MAX(0,167.63-167.63)),"")</f>
        <v/>
      </c>
      <c r="K6" s="2" t="n"/>
    </row>
    <row r="7" ht="20" customHeight="1">
      <c r="A7" s="51" t="inlineStr">
        <is>
          <t>Aug '25</t>
        </is>
      </c>
      <c r="B7" s="52" t="n">
        <v>24.35</v>
      </c>
      <c r="C7" s="52" t="n">
        <v>429.27</v>
      </c>
      <c r="D7" s="52" t="n">
        <v>42.98</v>
      </c>
      <c r="E7" s="52" t="n"/>
      <c r="F7" s="53">
        <f>IFERROR(SUM(B7:E7),"")</f>
        <v/>
      </c>
      <c r="G7" s="54" t="n">
        <v>630</v>
      </c>
      <c r="H7" s="55">
        <f>IFERROR(G7-F7,"")</f>
        <v/>
      </c>
      <c r="I7" s="52">
        <f>IFERROR(MAX(0,MIN(167.63,I6+H7)),"")</f>
        <v/>
      </c>
      <c r="J7" s="56">
        <f>IFERROR(MAX(0,H7-MAX(0,167.63-167.63)),"")</f>
        <v/>
      </c>
      <c r="K7" s="57" t="n"/>
    </row>
    <row r="8" ht="20" customHeight="1">
      <c r="A8" s="58" t="inlineStr">
        <is>
          <t>Sep '25</t>
        </is>
      </c>
      <c r="B8" s="59" t="n">
        <v>33.54</v>
      </c>
      <c r="C8" s="59" t="n">
        <v>381.57</v>
      </c>
      <c r="D8" s="59" t="n">
        <v>63.03</v>
      </c>
      <c r="E8" s="59" t="n">
        <v>21.37</v>
      </c>
      <c r="F8" s="60">
        <f>IFERROR(SUM(B8:E8),"")</f>
        <v/>
      </c>
      <c r="G8" s="61" t="n">
        <v>630</v>
      </c>
      <c r="H8" s="62">
        <f>IFERROR(G8-F8,"")</f>
        <v/>
      </c>
      <c r="I8" s="59">
        <f>IFERROR(MAX(0,MIN(167.63,I7+H8)),"")</f>
        <v/>
      </c>
      <c r="J8" s="63">
        <f>IFERROR(MAX(0,H8-MAX(0,167.63-167.63)),"")</f>
        <v/>
      </c>
      <c r="K8" s="2" t="n"/>
    </row>
    <row r="9" ht="20" customHeight="1">
      <c r="A9" s="51" t="inlineStr">
        <is>
          <t>Oct '25</t>
        </is>
      </c>
      <c r="B9" s="52" t="n">
        <v>35.97</v>
      </c>
      <c r="C9" s="52" t="n">
        <v>248.35</v>
      </c>
      <c r="D9" s="52" t="n">
        <v>63.03</v>
      </c>
      <c r="E9" s="52" t="n">
        <v>21.37</v>
      </c>
      <c r="F9" s="53">
        <f>IFERROR(SUM(B9:E9),"")</f>
        <v/>
      </c>
      <c r="G9" s="54" t="n">
        <v>630</v>
      </c>
      <c r="H9" s="55">
        <f>IFERROR(G9-F9,"")</f>
        <v/>
      </c>
      <c r="I9" s="52">
        <f>IFERROR(MAX(0,MIN(167.63,I8+H9)),"")</f>
        <v/>
      </c>
      <c r="J9" s="56">
        <f>IFERROR(MAX(0,H9-MAX(0,167.63-167.63)),"")</f>
        <v/>
      </c>
      <c r="K9" s="57" t="n"/>
    </row>
    <row r="10" ht="20" customHeight="1">
      <c r="A10" s="58" t="inlineStr">
        <is>
          <t>Nov '25</t>
        </is>
      </c>
      <c r="B10" s="59" t="n">
        <v>35.97</v>
      </c>
      <c r="C10" s="59" t="n">
        <v>264.5</v>
      </c>
      <c r="D10" s="59" t="n">
        <v>63.03</v>
      </c>
      <c r="E10" s="59" t="n">
        <v>21.37</v>
      </c>
      <c r="F10" s="60">
        <f>IFERROR(SUM(B10:E10),"")</f>
        <v/>
      </c>
      <c r="G10" s="61" t="n">
        <v>630</v>
      </c>
      <c r="H10" s="62">
        <f>IFERROR(G10-F10,"")</f>
        <v/>
      </c>
      <c r="I10" s="59">
        <f>IFERROR(MAX(0,MIN(167.63,I9+H10)),"")</f>
        <v/>
      </c>
      <c r="J10" s="63">
        <f>IFERROR(MAX(0,H10-MAX(0,167.63-167.63)),"")</f>
        <v/>
      </c>
      <c r="K10" s="2" t="n"/>
    </row>
    <row r="11" ht="20" customHeight="1">
      <c r="A11" s="51" t="inlineStr">
        <is>
          <t>Dec '25</t>
        </is>
      </c>
      <c r="B11" s="52" t="n">
        <v>44.13</v>
      </c>
      <c r="C11" s="52" t="n">
        <v>415.04</v>
      </c>
      <c r="D11" s="52" t="n">
        <v>63.03</v>
      </c>
      <c r="E11" s="52" t="n">
        <v>21.37</v>
      </c>
      <c r="F11" s="53">
        <f>IFERROR(SUM(B11:E11),"")</f>
        <v/>
      </c>
      <c r="G11" s="54" t="n">
        <v>630</v>
      </c>
      <c r="H11" s="55">
        <f>IFERROR(G11-F11,"")</f>
        <v/>
      </c>
      <c r="I11" s="52">
        <f>IFERROR(MAX(0,MIN(167.63,I10+H11)),"")</f>
        <v/>
      </c>
      <c r="J11" s="56">
        <f>IFERROR(MAX(0,H11-MAX(0,167.63-167.63)),"")</f>
        <v/>
      </c>
      <c r="K11" s="57" t="n"/>
    </row>
    <row r="12" ht="20" customHeight="1">
      <c r="A12" s="58" t="inlineStr">
        <is>
          <t>Jan '26</t>
        </is>
      </c>
      <c r="B12" s="59" t="n">
        <v>40.52</v>
      </c>
      <c r="C12" s="59" t="n">
        <v>541.9</v>
      </c>
      <c r="D12" s="59" t="n">
        <v>24.95</v>
      </c>
      <c r="E12" s="59" t="n">
        <v>22.01</v>
      </c>
      <c r="F12" s="60">
        <f>IFERROR(SUM(B12:E12),"")</f>
        <v/>
      </c>
      <c r="G12" s="61" t="n">
        <v>630</v>
      </c>
      <c r="H12" s="62">
        <f>IFERROR(G12-F12,"")</f>
        <v/>
      </c>
      <c r="I12" s="59">
        <f>IFERROR(MAX(0,MIN(167.63,I11+H12)),"")</f>
        <v/>
      </c>
      <c r="J12" s="63">
        <f>IFERROR(MAX(0,H12-MAX(0,167.63-167.63)),"")</f>
        <v/>
      </c>
      <c r="K12" s="2" t="n"/>
    </row>
    <row r="13" ht="20" customHeight="1">
      <c r="A13" s="51" t="inlineStr">
        <is>
          <t>Feb '26</t>
        </is>
      </c>
      <c r="B13" s="52" t="n">
        <v>31.02</v>
      </c>
      <c r="C13" s="52" t="n">
        <v>388.23</v>
      </c>
      <c r="D13" s="52" t="n">
        <v>24.95</v>
      </c>
      <c r="E13" s="52" t="n">
        <v>22.01</v>
      </c>
      <c r="F13" s="53">
        <f>IFERROR(SUM(B13:E13),"")</f>
        <v/>
      </c>
      <c r="G13" s="54" t="n">
        <v>630</v>
      </c>
      <c r="H13" s="55">
        <f>IFERROR(G13-F13,"")</f>
        <v/>
      </c>
      <c r="I13" s="52">
        <f>IFERROR(MAX(0,MIN(167.63,I12+H13)),"")</f>
        <v/>
      </c>
      <c r="J13" s="56">
        <f>IFERROR(MAX(0,H13-MAX(0,167.63-167.63)),"")</f>
        <v/>
      </c>
      <c r="K13" s="57" t="n"/>
    </row>
    <row r="14" ht="20" customHeight="1">
      <c r="A14" s="58" t="inlineStr">
        <is>
          <t>Mar '26</t>
        </is>
      </c>
      <c r="B14" s="59" t="n">
        <v>39.61</v>
      </c>
      <c r="C14" s="59" t="n">
        <v>226.71</v>
      </c>
      <c r="D14" s="59" t="n">
        <v>24.95</v>
      </c>
      <c r="E14" s="59" t="n">
        <v>22.01</v>
      </c>
      <c r="F14" s="60">
        <f>IFERROR(SUM(B14:E14),"")</f>
        <v/>
      </c>
      <c r="G14" s="61" t="n">
        <v>630</v>
      </c>
      <c r="H14" s="62">
        <f>IFERROR(G14-F14,"")</f>
        <v/>
      </c>
      <c r="I14" s="59">
        <f>IFERROR(MAX(0,MIN(167.63,I13+H14)),"")</f>
        <v/>
      </c>
      <c r="J14" s="63">
        <f>IFERROR(MAX(0,H14-MAX(0,167.63-167.63)),"")</f>
        <v/>
      </c>
      <c r="K14" s="2" t="n"/>
    </row>
    <row r="15" ht="20" customHeight="1">
      <c r="A15" s="51" t="inlineStr">
        <is>
          <t>Apr '26</t>
        </is>
      </c>
      <c r="B15" s="52" t="n">
        <v>86.5</v>
      </c>
      <c r="C15" s="52" t="n">
        <v>206.01</v>
      </c>
      <c r="D15" s="52" t="n">
        <v>24.95</v>
      </c>
      <c r="E15" s="52" t="n">
        <v>22.01</v>
      </c>
      <c r="F15" s="53">
        <f>IFERROR(SUM(B15:E15),"")</f>
        <v/>
      </c>
      <c r="G15" s="54" t="n">
        <v>630</v>
      </c>
      <c r="H15" s="55">
        <f>IFERROR(G15-F15,"")</f>
        <v/>
      </c>
      <c r="I15" s="52">
        <f>IFERROR(MAX(0,MIN(167.63,I14+H15)),"")</f>
        <v/>
      </c>
      <c r="J15" s="56">
        <f>IFERROR(MAX(0,H15-MAX(0,167.63-167.63)),"")</f>
        <v/>
      </c>
      <c r="K15" s="57" t="n"/>
    </row>
    <row r="16" ht="20" customHeight="1">
      <c r="A16" s="58" t="inlineStr">
        <is>
          <t>May '26</t>
        </is>
      </c>
      <c r="B16" s="59" t="n"/>
      <c r="C16" s="59" t="n"/>
      <c r="D16" s="59" t="n"/>
      <c r="E16" s="59" t="n"/>
      <c r="F16" s="60">
        <f>IFERROR(SUM(B16:E16),"")</f>
        <v/>
      </c>
      <c r="G16" s="61" t="n">
        <v>630</v>
      </c>
      <c r="H16" s="62">
        <f>IFERROR(G16-F16,"")</f>
        <v/>
      </c>
      <c r="I16" s="59">
        <f>IFERROR(MAX(0,MIN(167.63,I15+H16)),"")</f>
        <v/>
      </c>
      <c r="J16" s="63">
        <f>IFERROR(MAX(0,H16-MAX(0,167.63-167.63)),"")</f>
        <v/>
      </c>
      <c r="K16" s="2" t="n"/>
    </row>
    <row r="17" ht="20" customHeight="1">
      <c r="A17" s="51" t="inlineStr">
        <is>
          <t>Jun '26</t>
        </is>
      </c>
      <c r="B17" s="52" t="n">
        <v>166.96</v>
      </c>
      <c r="C17" s="52" t="n">
        <v>220.59</v>
      </c>
      <c r="D17" s="52" t="n">
        <v>24.95</v>
      </c>
      <c r="E17" s="52" t="n">
        <v>22.01</v>
      </c>
      <c r="F17" s="53">
        <f>IFERROR(SUM(B17:E17),"")</f>
        <v/>
      </c>
      <c r="G17" s="54" t="n">
        <v>630</v>
      </c>
      <c r="H17" s="55">
        <f>IFERROR(G17-F17,"")</f>
        <v/>
      </c>
      <c r="I17" s="52">
        <f>IFERROR(MAX(0,MIN(167.63,I16+H17)),"")</f>
        <v/>
      </c>
      <c r="J17" s="56">
        <f>IFERROR(MAX(0,H17-MAX(0,167.63-167.63)),"")</f>
        <v/>
      </c>
      <c r="K17" s="57" t="n"/>
    </row>
    <row r="18" ht="20" customHeight="1">
      <c r="A18" s="58" t="inlineStr">
        <is>
          <t>Jul '26</t>
        </is>
      </c>
      <c r="B18" s="59" t="n"/>
      <c r="C18" s="59" t="n"/>
      <c r="D18" s="59" t="n"/>
      <c r="E18" s="59" t="n"/>
      <c r="F18" s="60">
        <f>IFERROR(SUM(B18:E18),"")</f>
        <v/>
      </c>
      <c r="G18" s="61" t="n">
        <v>630</v>
      </c>
      <c r="H18" s="62">
        <f>IFERROR(G18-F18,"")</f>
        <v/>
      </c>
      <c r="I18" s="59">
        <f>IFERROR(MAX(0,MIN(167.63,I17+H18)),"")</f>
        <v/>
      </c>
      <c r="J18" s="63">
        <f>IFERROR(MAX(0,H18-MAX(0,167.63-167.63)),"")</f>
        <v/>
      </c>
      <c r="K18" s="2" t="n"/>
    </row>
    <row r="19" ht="20" customHeight="1">
      <c r="A19" s="51" t="inlineStr">
        <is>
          <t>Aug '26</t>
        </is>
      </c>
      <c r="B19" s="52" t="n"/>
      <c r="C19" s="52" t="n"/>
      <c r="D19" s="52" t="n"/>
      <c r="E19" s="52" t="n"/>
      <c r="F19" s="53">
        <f>IFERROR(SUM(B19:E19),"")</f>
        <v/>
      </c>
      <c r="G19" s="54" t="n">
        <v>630</v>
      </c>
      <c r="H19" s="55">
        <f>IFERROR(G19-F19,"")</f>
        <v/>
      </c>
      <c r="I19" s="52">
        <f>IFERROR(MAX(0,MIN(167.63,I18+H19)),"")</f>
        <v/>
      </c>
      <c r="J19" s="56">
        <f>IFERROR(MAX(0,H19-MAX(0,167.63-167.63)),"")</f>
        <v/>
      </c>
      <c r="K19" s="57" t="n"/>
    </row>
    <row r="20" ht="20" customHeight="1">
      <c r="A20" s="58" t="inlineStr">
        <is>
          <t>Sep '26</t>
        </is>
      </c>
      <c r="B20" s="59" t="n"/>
      <c r="C20" s="59" t="n"/>
      <c r="D20" s="59" t="n"/>
      <c r="E20" s="59" t="n"/>
      <c r="F20" s="60">
        <f>IFERROR(SUM(B20:E20),"")</f>
        <v/>
      </c>
      <c r="G20" s="61" t="n">
        <v>630</v>
      </c>
      <c r="H20" s="62">
        <f>IFERROR(G20-F20,"")</f>
        <v/>
      </c>
      <c r="I20" s="59">
        <f>IFERROR(MAX(0,MIN(167.63,I19+H20)),"")</f>
        <v/>
      </c>
      <c r="J20" s="63">
        <f>IFERROR(MAX(0,H20-MAX(0,167.63-167.63)),"")</f>
        <v/>
      </c>
      <c r="K20" s="2" t="n"/>
    </row>
    <row r="21" ht="20" customHeight="1">
      <c r="A21" s="51" t="inlineStr">
        <is>
          <t>Oct '26</t>
        </is>
      </c>
      <c r="B21" s="52" t="n"/>
      <c r="C21" s="52" t="n"/>
      <c r="D21" s="52" t="n"/>
      <c r="E21" s="52" t="n"/>
      <c r="F21" s="53">
        <f>IFERROR(SUM(B21:E21),"")</f>
        <v/>
      </c>
      <c r="G21" s="54" t="n">
        <v>630</v>
      </c>
      <c r="H21" s="55">
        <f>IFERROR(G21-F21,"")</f>
        <v/>
      </c>
      <c r="I21" s="52">
        <f>IFERROR(MAX(0,MIN(167.63,I20+H21)),"")</f>
        <v/>
      </c>
      <c r="J21" s="56">
        <f>IFERROR(MAX(0,H21-MAX(0,167.63-167.63)),"")</f>
        <v/>
      </c>
      <c r="K21" s="57" t="n"/>
    </row>
    <row r="22" ht="20" customHeight="1">
      <c r="A22" s="58" t="inlineStr">
        <is>
          <t>Nov '26</t>
        </is>
      </c>
      <c r="B22" s="59" t="n"/>
      <c r="C22" s="59" t="n"/>
      <c r="D22" s="59" t="n"/>
      <c r="E22" s="59" t="n"/>
      <c r="F22" s="60">
        <f>IFERROR(SUM(B22:E22),"")</f>
        <v/>
      </c>
      <c r="G22" s="61" t="n">
        <v>630</v>
      </c>
      <c r="H22" s="62">
        <f>IFERROR(G22-F22,"")</f>
        <v/>
      </c>
      <c r="I22" s="59">
        <f>IFERROR(MAX(0,MIN(167.63,I21+H22)),"")</f>
        <v/>
      </c>
      <c r="J22" s="63">
        <f>IFERROR(MAX(0,H22-MAX(0,167.63-167.63)),"")</f>
        <v/>
      </c>
      <c r="K22" s="2" t="n"/>
    </row>
    <row r="23" ht="20" customHeight="1">
      <c r="A23" s="51" t="inlineStr">
        <is>
          <t>Dec '26</t>
        </is>
      </c>
      <c r="B23" s="52" t="n"/>
      <c r="C23" s="52" t="n"/>
      <c r="D23" s="52" t="n"/>
      <c r="E23" s="52" t="n"/>
      <c r="F23" s="53">
        <f>IFERROR(SUM(B23:E23),"")</f>
        <v/>
      </c>
      <c r="G23" s="54" t="n">
        <v>630</v>
      </c>
      <c r="H23" s="55">
        <f>IFERROR(G23-F23,"")</f>
        <v/>
      </c>
      <c r="I23" s="52">
        <f>IFERROR(MAX(0,MIN(167.63,I22+H23)),"")</f>
        <v/>
      </c>
      <c r="J23" s="56">
        <f>IFERROR(MAX(0,H23-MAX(0,167.63-167.63)),"")</f>
        <v/>
      </c>
      <c r="K23" s="57" t="n"/>
    </row>
    <row r="24" ht="20" customHeight="1">
      <c r="A24" s="58" t="inlineStr">
        <is>
          <t>Jan '27</t>
        </is>
      </c>
      <c r="B24" s="59" t="n"/>
      <c r="C24" s="59" t="n"/>
      <c r="D24" s="59" t="n"/>
      <c r="E24" s="59" t="n"/>
      <c r="F24" s="60">
        <f>IFERROR(SUM(B24:E24),"")</f>
        <v/>
      </c>
      <c r="G24" s="61" t="n">
        <v>630</v>
      </c>
      <c r="H24" s="62">
        <f>IFERROR(G24-F24,"")</f>
        <v/>
      </c>
      <c r="I24" s="59">
        <f>IFERROR(MAX(0,MIN(167.63,I23+H24)),"")</f>
        <v/>
      </c>
      <c r="J24" s="63">
        <f>IFERROR(MAX(0,H24-MAX(0,167.63-167.63)),"")</f>
        <v/>
      </c>
      <c r="K24" s="2" t="n"/>
    </row>
    <row r="25" ht="20" customHeight="1">
      <c r="A25" s="51" t="inlineStr">
        <is>
          <t>Feb '27</t>
        </is>
      </c>
      <c r="B25" s="52" t="n"/>
      <c r="C25" s="52" t="n"/>
      <c r="D25" s="52" t="n"/>
      <c r="E25" s="52" t="n"/>
      <c r="F25" s="53">
        <f>IFERROR(SUM(B25:E25),"")</f>
        <v/>
      </c>
      <c r="G25" s="54" t="n">
        <v>630</v>
      </c>
      <c r="H25" s="55">
        <f>IFERROR(G25-F25,"")</f>
        <v/>
      </c>
      <c r="I25" s="52">
        <f>IFERROR(MAX(0,MIN(167.63,I24+H25)),"")</f>
        <v/>
      </c>
      <c r="J25" s="56">
        <f>IFERROR(MAX(0,H25-MAX(0,167.63-167.63)),"")</f>
        <v/>
      </c>
      <c r="K25" s="57" t="n"/>
    </row>
    <row r="26" ht="20" customHeight="1">
      <c r="A26" s="58" t="inlineStr">
        <is>
          <t>Mar '27</t>
        </is>
      </c>
      <c r="B26" s="59" t="n"/>
      <c r="C26" s="59" t="n"/>
      <c r="D26" s="59" t="n"/>
      <c r="E26" s="59" t="n"/>
      <c r="F26" s="60">
        <f>IFERROR(SUM(B26:E26),"")</f>
        <v/>
      </c>
      <c r="G26" s="61" t="n">
        <v>630</v>
      </c>
      <c r="H26" s="62">
        <f>IFERROR(G26-F26,"")</f>
        <v/>
      </c>
      <c r="I26" s="59">
        <f>IFERROR(MAX(0,MIN(167.63,I25+H26)),"")</f>
        <v/>
      </c>
      <c r="J26" s="63">
        <f>IFERROR(MAX(0,H26-MAX(0,167.63-167.63)),"")</f>
        <v/>
      </c>
      <c r="K26" s="2" t="n"/>
    </row>
    <row r="27" ht="20" customHeight="1">
      <c r="A27" s="51" t="inlineStr">
        <is>
          <t>Apr '27</t>
        </is>
      </c>
      <c r="B27" s="52" t="n"/>
      <c r="C27" s="52" t="n"/>
      <c r="D27" s="52" t="n"/>
      <c r="E27" s="52" t="n"/>
      <c r="F27" s="53">
        <f>IFERROR(SUM(B27:E27),"")</f>
        <v/>
      </c>
      <c r="G27" s="54" t="n">
        <v>630</v>
      </c>
      <c r="H27" s="55">
        <f>IFERROR(G27-F27,"")</f>
        <v/>
      </c>
      <c r="I27" s="52">
        <f>IFERROR(MAX(0,MIN(167.63,I26+H27)),"")</f>
        <v/>
      </c>
      <c r="J27" s="56">
        <f>IFERROR(MAX(0,H27-MAX(0,167.63-167.63)),"")</f>
        <v/>
      </c>
      <c r="K27" s="57" t="n"/>
    </row>
    <row r="28" ht="20" customHeight="1">
      <c r="A28" s="58" t="inlineStr">
        <is>
          <t>May '27</t>
        </is>
      </c>
      <c r="B28" s="59" t="n"/>
      <c r="C28" s="59" t="n"/>
      <c r="D28" s="59" t="n"/>
      <c r="E28" s="59" t="n"/>
      <c r="F28" s="60">
        <f>IFERROR(SUM(B28:E28),"")</f>
        <v/>
      </c>
      <c r="G28" s="61" t="n">
        <v>630</v>
      </c>
      <c r="H28" s="62">
        <f>IFERROR(G28-F28,"")</f>
        <v/>
      </c>
      <c r="I28" s="59">
        <f>IFERROR(MAX(0,MIN(167.63,I27+H28)),"")</f>
        <v/>
      </c>
      <c r="J28" s="63">
        <f>IFERROR(MAX(0,H28-MAX(0,167.63-167.63)),"")</f>
        <v/>
      </c>
      <c r="K28" s="2" t="n"/>
    </row>
    <row r="29" ht="20" customHeight="1">
      <c r="A29" s="51" t="inlineStr">
        <is>
          <t>Jun '27</t>
        </is>
      </c>
      <c r="B29" s="52" t="n"/>
      <c r="C29" s="52" t="n"/>
      <c r="D29" s="52" t="n"/>
      <c r="E29" s="52" t="n"/>
      <c r="F29" s="53">
        <f>IFERROR(SUM(B29:E29),"")</f>
        <v/>
      </c>
      <c r="G29" s="54" t="n">
        <v>630</v>
      </c>
      <c r="H29" s="55">
        <f>IFERROR(G29-F29,"")</f>
        <v/>
      </c>
      <c r="I29" s="52">
        <f>IFERROR(MAX(0,MIN(167.63,I28+H29)),"")</f>
        <v/>
      </c>
      <c r="J29" s="56">
        <f>IFERROR(MAX(0,H29-MAX(0,167.63-167.63)),"")</f>
        <v/>
      </c>
      <c r="K29" s="57" t="n"/>
    </row>
    <row r="30" ht="20" customHeight="1">
      <c r="A30" s="58" t="inlineStr">
        <is>
          <t>Jul '27</t>
        </is>
      </c>
      <c r="B30" s="59" t="n"/>
      <c r="C30" s="59" t="n"/>
      <c r="D30" s="59" t="n"/>
      <c r="E30" s="59" t="n"/>
      <c r="F30" s="60">
        <f>IFERROR(SUM(B30:E30),"")</f>
        <v/>
      </c>
      <c r="G30" s="61" t="n">
        <v>630</v>
      </c>
      <c r="H30" s="62">
        <f>IFERROR(G30-F30,"")</f>
        <v/>
      </c>
      <c r="I30" s="59">
        <f>IFERROR(MAX(0,MIN(167.63,I29+H30)),"")</f>
        <v/>
      </c>
      <c r="J30" s="63">
        <f>IFERROR(MAX(0,H30-MAX(0,167.63-167.63)),"")</f>
        <v/>
      </c>
      <c r="K30" s="2" t="n"/>
    </row>
    <row r="31" ht="20" customHeight="1">
      <c r="A31" s="51" t="inlineStr">
        <is>
          <t>Aug '27</t>
        </is>
      </c>
      <c r="B31" s="52" t="n"/>
      <c r="C31" s="52" t="n"/>
      <c r="D31" s="52" t="n"/>
      <c r="E31" s="52" t="n"/>
      <c r="F31" s="53">
        <f>IFERROR(SUM(B31:E31),"")</f>
        <v/>
      </c>
      <c r="G31" s="54" t="n">
        <v>630</v>
      </c>
      <c r="H31" s="55">
        <f>IFERROR(G31-F31,"")</f>
        <v/>
      </c>
      <c r="I31" s="52">
        <f>IFERROR(MAX(0,MIN(167.63,I30+H31)),"")</f>
        <v/>
      </c>
      <c r="J31" s="56">
        <f>IFERROR(MAX(0,H31-MAX(0,167.63-167.63)),"")</f>
        <v/>
      </c>
      <c r="K31" s="57" t="n"/>
    </row>
    <row r="32" ht="20" customHeight="1">
      <c r="A32" s="58" t="inlineStr">
        <is>
          <t>Sep '27</t>
        </is>
      </c>
      <c r="B32" s="59" t="n"/>
      <c r="C32" s="59" t="n"/>
      <c r="D32" s="59" t="n"/>
      <c r="E32" s="59" t="n"/>
      <c r="F32" s="60">
        <f>IFERROR(SUM(B32:E32),"")</f>
        <v/>
      </c>
      <c r="G32" s="61" t="n">
        <v>630</v>
      </c>
      <c r="H32" s="62">
        <f>IFERROR(G32-F32,"")</f>
        <v/>
      </c>
      <c r="I32" s="59">
        <f>IFERROR(MAX(0,MIN(167.63,I31+H32)),"")</f>
        <v/>
      </c>
      <c r="J32" s="63">
        <f>IFERROR(MAX(0,H32-MAX(0,167.63-167.63)),"")</f>
        <v/>
      </c>
      <c r="K32" s="2" t="n"/>
    </row>
    <row r="33" ht="20" customHeight="1">
      <c r="A33" s="51" t="inlineStr">
        <is>
          <t>Oct '27</t>
        </is>
      </c>
      <c r="B33" s="52" t="n"/>
      <c r="C33" s="52" t="n"/>
      <c r="D33" s="52" t="n"/>
      <c r="E33" s="52" t="n"/>
      <c r="F33" s="53">
        <f>IFERROR(SUM(B33:E33),"")</f>
        <v/>
      </c>
      <c r="G33" s="54" t="n">
        <v>630</v>
      </c>
      <c r="H33" s="55">
        <f>IFERROR(G33-F33,"")</f>
        <v/>
      </c>
      <c r="I33" s="52">
        <f>IFERROR(MAX(0,MIN(167.63,I32+H33)),"")</f>
        <v/>
      </c>
      <c r="J33" s="56">
        <f>IFERROR(MAX(0,H33-MAX(0,167.63-167.63)),"")</f>
        <v/>
      </c>
      <c r="K33" s="57" t="n"/>
    </row>
    <row r="34" ht="20" customHeight="1">
      <c r="A34" s="58" t="inlineStr">
        <is>
          <t>Nov '27</t>
        </is>
      </c>
      <c r="B34" s="59" t="n"/>
      <c r="C34" s="59" t="n"/>
      <c r="D34" s="59" t="n"/>
      <c r="E34" s="59" t="n"/>
      <c r="F34" s="60">
        <f>IFERROR(SUM(B34:E34),"")</f>
        <v/>
      </c>
      <c r="G34" s="61" t="n">
        <v>630</v>
      </c>
      <c r="H34" s="62">
        <f>IFERROR(G34-F34,"")</f>
        <v/>
      </c>
      <c r="I34" s="59">
        <f>IFERROR(MAX(0,MIN(167.63,I33+H34)),"")</f>
        <v/>
      </c>
      <c r="J34" s="63">
        <f>IFERROR(MAX(0,H34-MAX(0,167.63-167.63)),"")</f>
        <v/>
      </c>
      <c r="K34" s="2" t="n"/>
    </row>
    <row r="35" ht="20" customHeight="1">
      <c r="A35" s="51" t="inlineStr">
        <is>
          <t>Dec '27</t>
        </is>
      </c>
      <c r="B35" s="52" t="n"/>
      <c r="C35" s="52" t="n"/>
      <c r="D35" s="52" t="n"/>
      <c r="E35" s="52" t="n"/>
      <c r="F35" s="53">
        <f>IFERROR(SUM(B35:E35),"")</f>
        <v/>
      </c>
      <c r="G35" s="54" t="n">
        <v>630</v>
      </c>
      <c r="H35" s="55">
        <f>IFERROR(G35-F35,"")</f>
        <v/>
      </c>
      <c r="I35" s="52">
        <f>IFERROR(MAX(0,MIN(167.63,I34+H35)),"")</f>
        <v/>
      </c>
      <c r="J35" s="56">
        <f>IFERROR(MAX(0,H35-MAX(0,167.63-167.63)),"")</f>
        <v/>
      </c>
      <c r="K35" s="57" t="n"/>
    </row>
    <row r="37" ht="24" customHeight="1">
      <c r="A37" s="64" t="inlineStr">
        <is>
          <t>TOTALS</t>
        </is>
      </c>
      <c r="B37" s="65">
        <f>SUM(B5:B17)</f>
        <v/>
      </c>
      <c r="C37" s="65">
        <f>SUM(C5:C17)</f>
        <v/>
      </c>
      <c r="D37" s="65">
        <f>SUM(D5:D17)</f>
        <v/>
      </c>
      <c r="E37" s="65">
        <f>SUM(E5:E17)</f>
        <v/>
      </c>
      <c r="F37" s="65">
        <f>SUM(F5:F17)</f>
        <v/>
      </c>
      <c r="G37" s="65">
        <f>630*13</f>
        <v/>
      </c>
      <c r="H37" s="65">
        <f>SUM(H5:H17)</f>
        <v/>
      </c>
      <c r="J37" s="65">
        <f>SUM(J5:J17)</f>
        <v/>
      </c>
    </row>
    <row r="38" ht="20" customHeight="1">
      <c r="A38" s="58" t="inlineStr">
        <is>
          <t>AVERAGES</t>
        </is>
      </c>
      <c r="B38" s="59">
        <f>IFERROR(B37/COUNTA(B5:B17),"")</f>
        <v/>
      </c>
      <c r="C38" s="59">
        <f>IFERROR(C37/COUNTA(C5:C17),"")</f>
        <v/>
      </c>
      <c r="D38" s="59">
        <f>IFERROR(D37/COUNTA(D5:D17),"")</f>
        <v/>
      </c>
      <c r="E38" s="59">
        <f>IFERROR(E37/COUNTA(E5:E17),"")</f>
        <v/>
      </c>
      <c r="F38" s="59">
        <f>IFERROR(F37/COUNTA(F5:F17),"")</f>
        <v/>
      </c>
      <c r="H38" s="59">
        <f>IFERROR(H37/COUNTA(H5:H17),"")</f>
        <v/>
      </c>
    </row>
  </sheetData>
  <mergeCells count="3">
    <mergeCell ref="A2:K2"/>
    <mergeCell ref="A1:K1"/>
    <mergeCell ref="A37"/>
  </mergeCells>
  <conditionalFormatting sqref="H5:H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J5:J17">
    <cfRule type="cellIs" priority="3" operator="greaterThan" dxfId="0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4" customWidth="1" min="5" max="5"/>
    <col width="22" customWidth="1" min="6" max="6"/>
  </cols>
  <sheetData>
    <row r="1" ht="32" customHeight="1">
      <c r="A1" s="66" t="inlineStr">
        <is>
          <t>PER UTILITY — Actuals vs Targets</t>
        </is>
      </c>
    </row>
    <row r="3" ht="26" customHeight="1">
      <c r="A3" s="67" t="inlineStr">
        <is>
          <t>WATER  ·  fund $90/mo  ·  avg $49  ·  cushion $41/mo</t>
        </is>
      </c>
    </row>
    <row r="4" ht="20" customHeight="1">
      <c r="A4" s="58" t="inlineStr">
        <is>
          <t>Month</t>
        </is>
      </c>
      <c r="B4" s="58" t="inlineStr">
        <is>
          <t>Actual</t>
        </is>
      </c>
      <c r="C4" s="58" t="inlineStr">
        <is>
          <t>Target</t>
        </is>
      </c>
      <c r="D4" s="58" t="inlineStr">
        <is>
          <t>Net</t>
        </is>
      </c>
      <c r="E4" s="58" t="inlineStr">
        <is>
          <t>Notes</t>
        </is>
      </c>
    </row>
    <row r="5" ht="18" customHeight="1">
      <c r="A5" s="68" t="inlineStr">
        <is>
          <t>Jun '25</t>
        </is>
      </c>
      <c r="B5" s="52" t="n">
        <v>22.5</v>
      </c>
      <c r="C5" s="69" t="n">
        <v>90</v>
      </c>
      <c r="D5" s="70">
        <f>IFERROR(C5-B5,"")</f>
        <v/>
      </c>
      <c r="E5" s="57" t="n"/>
    </row>
    <row r="6" ht="18" customHeight="1">
      <c r="A6" s="71" t="inlineStr">
        <is>
          <t>Jul '25</t>
        </is>
      </c>
      <c r="B6" s="59" t="n">
        <v>28.32</v>
      </c>
      <c r="C6" s="72" t="n">
        <v>90</v>
      </c>
      <c r="D6" s="73">
        <f>IFERROR(C6-B6,"")</f>
        <v/>
      </c>
      <c r="E6" s="2" t="n"/>
    </row>
    <row r="7" ht="18" customHeight="1">
      <c r="A7" s="68" t="inlineStr">
        <is>
          <t>Aug '25</t>
        </is>
      </c>
      <c r="B7" s="52" t="n">
        <v>24.35</v>
      </c>
      <c r="C7" s="69" t="n">
        <v>90</v>
      </c>
      <c r="D7" s="70">
        <f>IFERROR(C7-B7,"")</f>
        <v/>
      </c>
      <c r="E7" s="57" t="n"/>
    </row>
    <row r="8" ht="18" customHeight="1">
      <c r="A8" s="71" t="inlineStr">
        <is>
          <t>Sep '25</t>
        </is>
      </c>
      <c r="B8" s="59" t="n">
        <v>33.54</v>
      </c>
      <c r="C8" s="72" t="n">
        <v>90</v>
      </c>
      <c r="D8" s="73">
        <f>IFERROR(C8-B8,"")</f>
        <v/>
      </c>
      <c r="E8" s="2" t="n"/>
    </row>
    <row r="9" ht="18" customHeight="1">
      <c r="A9" s="68" t="inlineStr">
        <is>
          <t>Oct '25</t>
        </is>
      </c>
      <c r="B9" s="52" t="n">
        <v>35.97</v>
      </c>
      <c r="C9" s="69" t="n">
        <v>90</v>
      </c>
      <c r="D9" s="70">
        <f>IFERROR(C9-B9,"")</f>
        <v/>
      </c>
      <c r="E9" s="57" t="n"/>
    </row>
    <row r="10" ht="18" customHeight="1">
      <c r="A10" s="71" t="inlineStr">
        <is>
          <t>Nov '25</t>
        </is>
      </c>
      <c r="B10" s="59" t="n">
        <v>35.97</v>
      </c>
      <c r="C10" s="72" t="n">
        <v>90</v>
      </c>
      <c r="D10" s="73">
        <f>IFERROR(C10-B10,"")</f>
        <v/>
      </c>
      <c r="E10" s="2" t="n"/>
    </row>
    <row r="11" ht="18" customHeight="1">
      <c r="A11" s="68" t="inlineStr">
        <is>
          <t>Dec '25</t>
        </is>
      </c>
      <c r="B11" s="52" t="n">
        <v>44.13</v>
      </c>
      <c r="C11" s="69" t="n">
        <v>90</v>
      </c>
      <c r="D11" s="70">
        <f>IFERROR(C11-B11,"")</f>
        <v/>
      </c>
      <c r="E11" s="57" t="n"/>
    </row>
    <row r="12" ht="18" customHeight="1">
      <c r="A12" s="71" t="inlineStr">
        <is>
          <t>Jan '26</t>
        </is>
      </c>
      <c r="B12" s="59" t="n">
        <v>40.52</v>
      </c>
      <c r="C12" s="72" t="n">
        <v>90</v>
      </c>
      <c r="D12" s="73">
        <f>IFERROR(C12-B12,"")</f>
        <v/>
      </c>
      <c r="E12" s="2" t="n"/>
    </row>
    <row r="13" ht="18" customHeight="1">
      <c r="A13" s="68" t="inlineStr">
        <is>
          <t>Feb '26</t>
        </is>
      </c>
      <c r="B13" s="52" t="n">
        <v>31.02</v>
      </c>
      <c r="C13" s="69" t="n">
        <v>90</v>
      </c>
      <c r="D13" s="70">
        <f>IFERROR(C13-B13,"")</f>
        <v/>
      </c>
      <c r="E13" s="57" t="n"/>
    </row>
    <row r="14" ht="18" customHeight="1">
      <c r="A14" s="71" t="inlineStr">
        <is>
          <t>Mar '26</t>
        </is>
      </c>
      <c r="B14" s="59" t="n">
        <v>39.61</v>
      </c>
      <c r="C14" s="72" t="n">
        <v>90</v>
      </c>
      <c r="D14" s="73">
        <f>IFERROR(C14-B14,"")</f>
        <v/>
      </c>
      <c r="E14" s="2" t="n"/>
    </row>
    <row r="15" ht="18" customHeight="1">
      <c r="A15" s="68" t="inlineStr">
        <is>
          <t>Apr '26</t>
        </is>
      </c>
      <c r="B15" s="52" t="n">
        <v>86.5</v>
      </c>
      <c r="C15" s="69" t="n">
        <v>90</v>
      </c>
      <c r="D15" s="70">
        <f>IFERROR(C15-B15,"")</f>
        <v/>
      </c>
      <c r="E15" s="57" t="n"/>
    </row>
    <row r="16" ht="18" customHeight="1">
      <c r="A16" s="71" t="inlineStr">
        <is>
          <t>Jun '26</t>
        </is>
      </c>
      <c r="B16" s="59" t="n">
        <v>166.96</v>
      </c>
      <c r="C16" s="72" t="n">
        <v>90</v>
      </c>
      <c r="D16" s="73">
        <f>IFERROR(C16-B16,"")</f>
        <v/>
      </c>
      <c r="E16" s="2" t="n"/>
    </row>
    <row r="17" ht="22" customHeight="1">
      <c r="A17" s="74" t="inlineStr">
        <is>
          <t>TOTALS</t>
        </is>
      </c>
      <c r="B17" s="75">
        <f>SUM(B5:B16)</f>
        <v/>
      </c>
      <c r="C17" s="75" t="n">
        <v>1080</v>
      </c>
      <c r="D17" s="76">
        <f>C17-B17</f>
        <v/>
      </c>
    </row>
    <row r="20" ht="26" customHeight="1">
      <c r="A20" s="77" t="inlineStr">
        <is>
          <t>POWER  ·  fund $453/mo  ·  avg $344  ·  cushion $109/mo</t>
        </is>
      </c>
    </row>
    <row r="21" ht="20" customHeight="1">
      <c r="A21" s="58" t="inlineStr">
        <is>
          <t>Month</t>
        </is>
      </c>
      <c r="B21" s="58" t="inlineStr">
        <is>
          <t>Actual</t>
        </is>
      </c>
      <c r="C21" s="58" t="inlineStr">
        <is>
          <t>Target</t>
        </is>
      </c>
      <c r="D21" s="58" t="inlineStr">
        <is>
          <t>Net</t>
        </is>
      </c>
      <c r="E21" s="58" t="inlineStr">
        <is>
          <t>Notes</t>
        </is>
      </c>
    </row>
    <row r="22" ht="18" customHeight="1">
      <c r="A22" s="68" t="inlineStr">
        <is>
          <t>Jun '25</t>
        </is>
      </c>
      <c r="B22" s="52" t="n">
        <v>368.62</v>
      </c>
      <c r="C22" s="69" t="n">
        <v>453</v>
      </c>
      <c r="D22" s="70">
        <f>IFERROR(C22-B22,"")</f>
        <v/>
      </c>
      <c r="E22" s="57" t="n"/>
    </row>
    <row r="23" ht="18" customHeight="1">
      <c r="A23" s="71" t="inlineStr">
        <is>
          <t>Jul '25</t>
        </is>
      </c>
      <c r="B23" s="59" t="n">
        <v>440.17</v>
      </c>
      <c r="C23" s="72" t="n">
        <v>453</v>
      </c>
      <c r="D23" s="73">
        <f>IFERROR(C23-B23,"")</f>
        <v/>
      </c>
      <c r="E23" s="2" t="n"/>
    </row>
    <row r="24" ht="18" customHeight="1">
      <c r="A24" s="68" t="inlineStr">
        <is>
          <t>Aug '25</t>
        </is>
      </c>
      <c r="B24" s="52" t="n">
        <v>429.27</v>
      </c>
      <c r="C24" s="69" t="n">
        <v>453</v>
      </c>
      <c r="D24" s="70">
        <f>IFERROR(C24-B24,"")</f>
        <v/>
      </c>
      <c r="E24" s="57" t="n"/>
    </row>
    <row r="25" ht="18" customHeight="1">
      <c r="A25" s="71" t="inlineStr">
        <is>
          <t>Sep '25</t>
        </is>
      </c>
      <c r="B25" s="59" t="n">
        <v>381.57</v>
      </c>
      <c r="C25" s="72" t="n">
        <v>453</v>
      </c>
      <c r="D25" s="73">
        <f>IFERROR(C25-B25,"")</f>
        <v/>
      </c>
      <c r="E25" s="2" t="n"/>
    </row>
    <row r="26" ht="18" customHeight="1">
      <c r="A26" s="68" t="inlineStr">
        <is>
          <t>Oct '25</t>
        </is>
      </c>
      <c r="B26" s="52" t="n">
        <v>248.35</v>
      </c>
      <c r="C26" s="69" t="n">
        <v>453</v>
      </c>
      <c r="D26" s="70">
        <f>IFERROR(C26-B26,"")</f>
        <v/>
      </c>
      <c r="E26" s="57" t="n"/>
    </row>
    <row r="27" ht="18" customHeight="1">
      <c r="A27" s="71" t="inlineStr">
        <is>
          <t>Nov '25</t>
        </is>
      </c>
      <c r="B27" s="59" t="n">
        <v>264.5</v>
      </c>
      <c r="C27" s="72" t="n">
        <v>453</v>
      </c>
      <c r="D27" s="73">
        <f>IFERROR(C27-B27,"")</f>
        <v/>
      </c>
      <c r="E27" s="2" t="n"/>
    </row>
    <row r="28" ht="18" customHeight="1">
      <c r="A28" s="68" t="inlineStr">
        <is>
          <t>Dec '25</t>
        </is>
      </c>
      <c r="B28" s="52" t="n">
        <v>415.04</v>
      </c>
      <c r="C28" s="69" t="n">
        <v>453</v>
      </c>
      <c r="D28" s="70">
        <f>IFERROR(C28-B28,"")</f>
        <v/>
      </c>
      <c r="E28" s="57" t="n"/>
    </row>
    <row r="29" ht="18" customHeight="1">
      <c r="A29" s="71" t="inlineStr">
        <is>
          <t>Jan '26</t>
        </is>
      </c>
      <c r="B29" s="59" t="n">
        <v>541.9</v>
      </c>
      <c r="C29" s="72" t="n">
        <v>453</v>
      </c>
      <c r="D29" s="73">
        <f>IFERROR(C29-B29,"")</f>
        <v/>
      </c>
      <c r="E29" s="2" t="n"/>
    </row>
    <row r="30" ht="18" customHeight="1">
      <c r="A30" s="68" t="inlineStr">
        <is>
          <t>Feb '26</t>
        </is>
      </c>
      <c r="B30" s="52" t="n">
        <v>388.23</v>
      </c>
      <c r="C30" s="69" t="n">
        <v>453</v>
      </c>
      <c r="D30" s="70">
        <f>IFERROR(C30-B30,"")</f>
        <v/>
      </c>
      <c r="E30" s="57" t="n"/>
    </row>
    <row r="31" ht="18" customHeight="1">
      <c r="A31" s="71" t="inlineStr">
        <is>
          <t>Mar '26</t>
        </is>
      </c>
      <c r="B31" s="59" t="n">
        <v>226.71</v>
      </c>
      <c r="C31" s="72" t="n">
        <v>453</v>
      </c>
      <c r="D31" s="73">
        <f>IFERROR(C31-B31,"")</f>
        <v/>
      </c>
      <c r="E31" s="2" t="n"/>
    </row>
    <row r="32" ht="18" customHeight="1">
      <c r="A32" s="68" t="inlineStr">
        <is>
          <t>Apr '26</t>
        </is>
      </c>
      <c r="B32" s="52" t="n">
        <v>206.01</v>
      </c>
      <c r="C32" s="69" t="n">
        <v>453</v>
      </c>
      <c r="D32" s="70">
        <f>IFERROR(C32-B32,"")</f>
        <v/>
      </c>
      <c r="E32" s="57" t="n"/>
    </row>
    <row r="33" ht="18" customHeight="1">
      <c r="A33" s="71" t="inlineStr">
        <is>
          <t>Jun '26</t>
        </is>
      </c>
      <c r="B33" s="59" t="n">
        <v>220.59</v>
      </c>
      <c r="C33" s="72" t="n">
        <v>453</v>
      </c>
      <c r="D33" s="73">
        <f>IFERROR(C33-B33,"")</f>
        <v/>
      </c>
      <c r="E33" s="2" t="n"/>
    </row>
    <row r="34" ht="22" customHeight="1">
      <c r="A34" s="74" t="inlineStr">
        <is>
          <t>TOTALS</t>
        </is>
      </c>
      <c r="B34" s="75">
        <f>SUM(B22:B33)</f>
        <v/>
      </c>
      <c r="C34" s="75" t="n">
        <v>5436</v>
      </c>
      <c r="D34" s="76">
        <f>C34-B34</f>
        <v/>
      </c>
    </row>
    <row r="37" ht="26" customHeight="1">
      <c r="A37" s="78" t="inlineStr">
        <is>
          <t>INTERNET  ·  fund $64/mo  ·  avg $42  ·  cushion $22/mo</t>
        </is>
      </c>
    </row>
    <row r="38" ht="20" customHeight="1">
      <c r="A38" s="58" t="inlineStr">
        <is>
          <t>Month</t>
        </is>
      </c>
      <c r="B38" s="58" t="inlineStr">
        <is>
          <t>Actual</t>
        </is>
      </c>
      <c r="C38" s="58" t="inlineStr">
        <is>
          <t>Target</t>
        </is>
      </c>
      <c r="D38" s="58" t="inlineStr">
        <is>
          <t>Net</t>
        </is>
      </c>
      <c r="E38" s="58" t="inlineStr">
        <is>
          <t>Notes</t>
        </is>
      </c>
    </row>
    <row r="39" ht="18" customHeight="1">
      <c r="A39" s="68" t="inlineStr">
        <is>
          <t>Jun '25</t>
        </is>
      </c>
      <c r="B39" s="52" t="n">
        <v>42.97</v>
      </c>
      <c r="C39" s="69" t="n">
        <v>64</v>
      </c>
      <c r="D39" s="70">
        <f>IFERROR(C39-B39,"")</f>
        <v/>
      </c>
      <c r="E39" s="57" t="n"/>
    </row>
    <row r="40" ht="18" customHeight="1">
      <c r="A40" s="71" t="inlineStr">
        <is>
          <t>Jul '25</t>
        </is>
      </c>
      <c r="B40" s="59" t="n">
        <v>42.98</v>
      </c>
      <c r="C40" s="72" t="n">
        <v>64</v>
      </c>
      <c r="D40" s="73">
        <f>IFERROR(C40-B40,"")</f>
        <v/>
      </c>
      <c r="E40" s="2" t="n"/>
    </row>
    <row r="41" ht="18" customHeight="1">
      <c r="A41" s="68" t="inlineStr">
        <is>
          <t>Aug '25</t>
        </is>
      </c>
      <c r="B41" s="52" t="n">
        <v>42.98</v>
      </c>
      <c r="C41" s="69" t="n">
        <v>64</v>
      </c>
      <c r="D41" s="70">
        <f>IFERROR(C41-B41,"")</f>
        <v/>
      </c>
      <c r="E41" s="57" t="n"/>
    </row>
    <row r="42" ht="18" customHeight="1">
      <c r="A42" s="71" t="inlineStr">
        <is>
          <t>Sep '25</t>
        </is>
      </c>
      <c r="B42" s="59" t="n">
        <v>63.03</v>
      </c>
      <c r="C42" s="72" t="n">
        <v>64</v>
      </c>
      <c r="D42" s="73">
        <f>IFERROR(C42-B42,"")</f>
        <v/>
      </c>
      <c r="E42" s="2" t="n"/>
    </row>
    <row r="43" ht="18" customHeight="1">
      <c r="A43" s="68" t="inlineStr">
        <is>
          <t>Oct '25</t>
        </is>
      </c>
      <c r="B43" s="52" t="n">
        <v>63.03</v>
      </c>
      <c r="C43" s="69" t="n">
        <v>64</v>
      </c>
      <c r="D43" s="70">
        <f>IFERROR(C43-B43,"")</f>
        <v/>
      </c>
      <c r="E43" s="57" t="n"/>
    </row>
    <row r="44" ht="18" customHeight="1">
      <c r="A44" s="71" t="inlineStr">
        <is>
          <t>Nov '25</t>
        </is>
      </c>
      <c r="B44" s="59" t="n">
        <v>63.03</v>
      </c>
      <c r="C44" s="72" t="n">
        <v>64</v>
      </c>
      <c r="D44" s="73">
        <f>IFERROR(C44-B44,"")</f>
        <v/>
      </c>
      <c r="E44" s="2" t="n"/>
    </row>
    <row r="45" ht="18" customHeight="1">
      <c r="A45" s="68" t="inlineStr">
        <is>
          <t>Dec '25</t>
        </is>
      </c>
      <c r="B45" s="52" t="n">
        <v>63.03</v>
      </c>
      <c r="C45" s="69" t="n">
        <v>64</v>
      </c>
      <c r="D45" s="70">
        <f>IFERROR(C45-B45,"")</f>
        <v/>
      </c>
      <c r="E45" s="57" t="n"/>
    </row>
    <row r="46" ht="18" customHeight="1">
      <c r="A46" s="71" t="inlineStr">
        <is>
          <t>Jan '26</t>
        </is>
      </c>
      <c r="B46" s="59" t="n">
        <v>24.95</v>
      </c>
      <c r="C46" s="72" t="n">
        <v>64</v>
      </c>
      <c r="D46" s="73">
        <f>IFERROR(C46-B46,"")</f>
        <v/>
      </c>
      <c r="E46" s="2" t="n"/>
    </row>
    <row r="47" ht="18" customHeight="1">
      <c r="A47" s="68" t="inlineStr">
        <is>
          <t>Feb '26</t>
        </is>
      </c>
      <c r="B47" s="52" t="n">
        <v>24.95</v>
      </c>
      <c r="C47" s="69" t="n">
        <v>64</v>
      </c>
      <c r="D47" s="70">
        <f>IFERROR(C47-B47,"")</f>
        <v/>
      </c>
      <c r="E47" s="57" t="n"/>
    </row>
    <row r="48" ht="18" customHeight="1">
      <c r="A48" s="71" t="inlineStr">
        <is>
          <t>Mar '26</t>
        </is>
      </c>
      <c r="B48" s="59" t="n">
        <v>24.95</v>
      </c>
      <c r="C48" s="72" t="n">
        <v>64</v>
      </c>
      <c r="D48" s="73">
        <f>IFERROR(C48-B48,"")</f>
        <v/>
      </c>
      <c r="E48" s="2" t="n"/>
    </row>
    <row r="49" ht="18" customHeight="1">
      <c r="A49" s="68" t="inlineStr">
        <is>
          <t>Apr '26</t>
        </is>
      </c>
      <c r="B49" s="52" t="n">
        <v>24.95</v>
      </c>
      <c r="C49" s="69" t="n">
        <v>64</v>
      </c>
      <c r="D49" s="70">
        <f>IFERROR(C49-B49,"")</f>
        <v/>
      </c>
      <c r="E49" s="57" t="n"/>
    </row>
    <row r="50" ht="18" customHeight="1">
      <c r="A50" s="71" t="inlineStr">
        <is>
          <t>Jun '26</t>
        </is>
      </c>
      <c r="B50" s="59" t="n">
        <v>24.95</v>
      </c>
      <c r="C50" s="72" t="n">
        <v>64</v>
      </c>
      <c r="D50" s="73">
        <f>IFERROR(C50-B50,"")</f>
        <v/>
      </c>
      <c r="E50" s="2" t="n"/>
    </row>
    <row r="51" ht="22" customHeight="1">
      <c r="A51" s="74" t="inlineStr">
        <is>
          <t>TOTALS</t>
        </is>
      </c>
      <c r="B51" s="75">
        <f>SUM(B39:B50)</f>
        <v/>
      </c>
      <c r="C51" s="75" t="n">
        <v>768</v>
      </c>
      <c r="D51" s="76">
        <f>C51-B51</f>
        <v/>
      </c>
    </row>
    <row r="54" ht="26" customHeight="1">
      <c r="A54" s="79" t="inlineStr">
        <is>
          <t>TRASH  ·  fund $23/mo  ·  avg $22  ·  cushion $1/mo</t>
        </is>
      </c>
    </row>
    <row r="55" ht="20" customHeight="1">
      <c r="A55" s="58" t="inlineStr">
        <is>
          <t>Month</t>
        </is>
      </c>
      <c r="B55" s="58" t="inlineStr">
        <is>
          <t>Actual</t>
        </is>
      </c>
      <c r="C55" s="58" t="inlineStr">
        <is>
          <t>Target</t>
        </is>
      </c>
      <c r="D55" s="58" t="inlineStr">
        <is>
          <t>Net</t>
        </is>
      </c>
      <c r="E55" s="58" t="inlineStr">
        <is>
          <t>Notes</t>
        </is>
      </c>
    </row>
    <row r="56" ht="18" customHeight="1">
      <c r="A56" s="68" t="inlineStr">
        <is>
          <t>Jun '25</t>
        </is>
      </c>
      <c r="B56" s="52" t="n">
        <v>21.37</v>
      </c>
      <c r="C56" s="69" t="n">
        <v>23</v>
      </c>
      <c r="D56" s="70">
        <f>IFERROR(C56-B56,"")</f>
        <v/>
      </c>
      <c r="E56" s="57" t="n"/>
    </row>
    <row r="57" ht="18" customHeight="1">
      <c r="A57" s="71" t="inlineStr">
        <is>
          <t>Jul '25</t>
        </is>
      </c>
      <c r="B57" s="59" t="n">
        <v>24.77</v>
      </c>
      <c r="C57" s="72" t="n">
        <v>23</v>
      </c>
      <c r="D57" s="73">
        <f>IFERROR(C57-B57,"")</f>
        <v/>
      </c>
      <c r="E57" s="2" t="n"/>
    </row>
    <row r="58" ht="18" customHeight="1">
      <c r="A58" s="68" t="inlineStr">
        <is>
          <t>Aug '25</t>
        </is>
      </c>
      <c r="B58" s="52" t="n"/>
      <c r="C58" s="69" t="n">
        <v>23</v>
      </c>
      <c r="D58" s="70">
        <f>IFERROR(C58-B58,"")</f>
        <v/>
      </c>
      <c r="E58" s="57" t="n"/>
    </row>
    <row r="59" ht="18" customHeight="1">
      <c r="A59" s="71" t="inlineStr">
        <is>
          <t>Sep '25</t>
        </is>
      </c>
      <c r="B59" s="59" t="n">
        <v>21.37</v>
      </c>
      <c r="C59" s="72" t="n">
        <v>23</v>
      </c>
      <c r="D59" s="73">
        <f>IFERROR(C59-B59,"")</f>
        <v/>
      </c>
      <c r="E59" s="2" t="n"/>
    </row>
    <row r="60" ht="18" customHeight="1">
      <c r="A60" s="68" t="inlineStr">
        <is>
          <t>Oct '25</t>
        </is>
      </c>
      <c r="B60" s="52" t="n">
        <v>21.37</v>
      </c>
      <c r="C60" s="69" t="n">
        <v>23</v>
      </c>
      <c r="D60" s="70">
        <f>IFERROR(C60-B60,"")</f>
        <v/>
      </c>
      <c r="E60" s="57" t="n"/>
    </row>
    <row r="61" ht="18" customHeight="1">
      <c r="A61" s="71" t="inlineStr">
        <is>
          <t>Nov '25</t>
        </is>
      </c>
      <c r="B61" s="59" t="n">
        <v>21.37</v>
      </c>
      <c r="C61" s="72" t="n">
        <v>23</v>
      </c>
      <c r="D61" s="73">
        <f>IFERROR(C61-B61,"")</f>
        <v/>
      </c>
      <c r="E61" s="2" t="n"/>
    </row>
    <row r="62" ht="18" customHeight="1">
      <c r="A62" s="68" t="inlineStr">
        <is>
          <t>Dec '25</t>
        </is>
      </c>
      <c r="B62" s="52" t="n">
        <v>21.37</v>
      </c>
      <c r="C62" s="69" t="n">
        <v>23</v>
      </c>
      <c r="D62" s="70">
        <f>IFERROR(C62-B62,"")</f>
        <v/>
      </c>
      <c r="E62" s="57" t="n"/>
    </row>
    <row r="63" ht="18" customHeight="1">
      <c r="A63" s="71" t="inlineStr">
        <is>
          <t>Jan '26</t>
        </is>
      </c>
      <c r="B63" s="59" t="n">
        <v>22.01</v>
      </c>
      <c r="C63" s="72" t="n">
        <v>23</v>
      </c>
      <c r="D63" s="73">
        <f>IFERROR(C63-B63,"")</f>
        <v/>
      </c>
      <c r="E63" s="2" t="n"/>
    </row>
    <row r="64" ht="18" customHeight="1">
      <c r="A64" s="68" t="inlineStr">
        <is>
          <t>Feb '26</t>
        </is>
      </c>
      <c r="B64" s="52" t="n">
        <v>22.01</v>
      </c>
      <c r="C64" s="69" t="n">
        <v>23</v>
      </c>
      <c r="D64" s="70">
        <f>IFERROR(C64-B64,"")</f>
        <v/>
      </c>
      <c r="E64" s="57" t="n"/>
    </row>
    <row r="65" ht="18" customHeight="1">
      <c r="A65" s="71" t="inlineStr">
        <is>
          <t>Mar '26</t>
        </is>
      </c>
      <c r="B65" s="59" t="n">
        <v>22.01</v>
      </c>
      <c r="C65" s="72" t="n">
        <v>23</v>
      </c>
      <c r="D65" s="73">
        <f>IFERROR(C65-B65,"")</f>
        <v/>
      </c>
      <c r="E65" s="2" t="n"/>
    </row>
    <row r="66" ht="18" customHeight="1">
      <c r="A66" s="68" t="inlineStr">
        <is>
          <t>Apr '26</t>
        </is>
      </c>
      <c r="B66" s="52" t="n">
        <v>22.01</v>
      </c>
      <c r="C66" s="69" t="n">
        <v>23</v>
      </c>
      <c r="D66" s="70">
        <f>IFERROR(C66-B66,"")</f>
        <v/>
      </c>
      <c r="E66" s="57" t="n"/>
    </row>
    <row r="67" ht="18" customHeight="1">
      <c r="A67" s="71" t="inlineStr">
        <is>
          <t>Jun '26</t>
        </is>
      </c>
      <c r="B67" s="59" t="n">
        <v>22.01</v>
      </c>
      <c r="C67" s="72" t="n">
        <v>23</v>
      </c>
      <c r="D67" s="73">
        <f>IFERROR(C67-B67,"")</f>
        <v/>
      </c>
      <c r="E67" s="2" t="n"/>
    </row>
    <row r="68" ht="22" customHeight="1">
      <c r="A68" s="74" t="inlineStr">
        <is>
          <t>TOTALS</t>
        </is>
      </c>
      <c r="B68" s="75">
        <f>SUM(B56:B67)</f>
        <v/>
      </c>
      <c r="C68" s="75" t="n">
        <v>276</v>
      </c>
      <c r="D68" s="76">
        <f>C68-B68</f>
        <v/>
      </c>
    </row>
  </sheetData>
  <mergeCells count="5">
    <mergeCell ref="A54:F54"/>
    <mergeCell ref="A1:F1"/>
    <mergeCell ref="A37:F37"/>
    <mergeCell ref="A3:F3"/>
    <mergeCell ref="A20:F20"/>
  </mergeCells>
  <conditionalFormatting sqref="D5:D1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2:D33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39:D50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D56:D67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2" customWidth="1" min="3" max="3"/>
    <col width="15" customWidth="1" min="4" max="4"/>
    <col width="15" customWidth="1" min="5" max="5"/>
    <col width="30" customWidth="1" min="6" max="6"/>
  </cols>
  <sheetData>
    <row r="1" ht="32" customHeight="1">
      <c r="A1" s="66" t="inlineStr">
        <is>
          <t>BILL CALENDAR — ALIGN TO PAYDAY</t>
        </is>
      </c>
    </row>
    <row r="2">
      <c r="A2" s="2" t="inlineStr">
        <is>
          <t>Move due dates so bills land 2–3 days after payday · keep buffers · set it once</t>
        </is>
      </c>
    </row>
    <row r="4" ht="22" customHeight="1">
      <c r="B4" s="42" t="inlineStr">
        <is>
          <t>BILL</t>
        </is>
      </c>
      <c r="C4" s="42" t="inlineStr">
        <is>
          <t>AMOUNT</t>
        </is>
      </c>
      <c r="D4" s="42" t="inlineStr">
        <is>
          <t>CURRENT DUE</t>
        </is>
      </c>
      <c r="E4" s="42" t="inlineStr">
        <is>
          <t>TARGET DUE</t>
        </is>
      </c>
      <c r="F4" s="42" t="inlineStr">
        <is>
          <t>NOTES</t>
        </is>
      </c>
    </row>
    <row r="5" ht="22" customHeight="1">
      <c r="B5" s="80" t="inlineStr">
        <is>
          <t>FIXED BILLS — auto-pay from SoFi checking</t>
        </is>
      </c>
    </row>
    <row r="6" ht="20" customHeight="1">
      <c r="B6" s="81" t="inlineStr">
        <is>
          <t>Mortgage</t>
        </is>
      </c>
      <c r="C6" s="59" t="n">
        <v>837</v>
      </c>
      <c r="D6" s="82" t="inlineStr">
        <is>
          <t>—</t>
        </is>
      </c>
      <c r="E6" s="83" t="inlineStr">
        <is>
          <t>—</t>
        </is>
      </c>
      <c r="F6" s="16" t="inlineStr">
        <is>
          <t>Move to 3rd of month</t>
        </is>
      </c>
    </row>
    <row r="7" ht="20" customHeight="1">
      <c r="B7" s="84" t="inlineStr">
        <is>
          <t>House insurance</t>
        </is>
      </c>
      <c r="C7" s="52" t="n">
        <v>190</v>
      </c>
      <c r="D7" s="85" t="inlineStr">
        <is>
          <t>—</t>
        </is>
      </c>
      <c r="E7" s="86" t="inlineStr">
        <is>
          <t>—</t>
        </is>
      </c>
      <c r="F7" s="6" t="inlineStr">
        <is>
          <t>Move to 4th</t>
        </is>
      </c>
    </row>
    <row r="8" ht="20" customHeight="1">
      <c r="B8" s="81" t="inlineStr">
        <is>
          <t>Auto insurance</t>
        </is>
      </c>
      <c r="C8" s="59" t="n">
        <v>79</v>
      </c>
      <c r="D8" s="82" t="inlineStr">
        <is>
          <t>—</t>
        </is>
      </c>
      <c r="E8" s="83" t="inlineStr">
        <is>
          <t>—</t>
        </is>
      </c>
      <c r="F8" s="16" t="inlineStr">
        <is>
          <t>Move to 5th</t>
        </is>
      </c>
    </row>
    <row r="9" ht="20" customHeight="1">
      <c r="B9" s="84" t="inlineStr">
        <is>
          <t>Phone</t>
        </is>
      </c>
      <c r="C9" s="52" t="n">
        <v>55</v>
      </c>
      <c r="D9" s="85" t="inlineStr">
        <is>
          <t>—</t>
        </is>
      </c>
      <c r="E9" s="86" t="inlineStr">
        <is>
          <t>—</t>
        </is>
      </c>
      <c r="F9" s="6" t="inlineStr">
        <is>
          <t>Move to 6th</t>
        </is>
      </c>
    </row>
    <row r="10" ht="20" customHeight="1">
      <c r="B10" s="81" t="inlineStr">
        <is>
          <t>Property tax set-aside</t>
        </is>
      </c>
      <c r="C10" s="59" t="n">
        <v>54</v>
      </c>
      <c r="D10" s="82" t="inlineStr">
        <is>
          <t>—</t>
        </is>
      </c>
      <c r="E10" s="83" t="inlineStr">
        <is>
          <t>—</t>
        </is>
      </c>
      <c r="F10" s="16" t="inlineStr">
        <is>
          <t>Move to 7th — manual transfer</t>
        </is>
      </c>
    </row>
    <row r="12" ht="22" customHeight="1">
      <c r="B12" s="87" t="inlineStr">
        <is>
          <t>FLEX UTILITIES — auto-draft from Flex account</t>
        </is>
      </c>
    </row>
    <row r="13" ht="20" customHeight="1">
      <c r="B13" s="81" t="inlineStr">
        <is>
          <t>Power</t>
        </is>
      </c>
      <c r="C13" s="59" t="n">
        <v>453</v>
      </c>
      <c r="D13" s="82" t="inlineStr">
        <is>
          <t>—</t>
        </is>
      </c>
      <c r="E13" s="83" t="inlineStr">
        <is>
          <t>—</t>
        </is>
      </c>
      <c r="F13" s="16" t="inlineStr">
        <is>
          <t>Varies — flat funding absorbs swings</t>
        </is>
      </c>
    </row>
    <row r="14" ht="20" customHeight="1">
      <c r="B14" s="84" t="inlineStr">
        <is>
          <t>Water</t>
        </is>
      </c>
      <c r="C14" s="52" t="n">
        <v>90</v>
      </c>
      <c r="D14" s="85" t="inlineStr">
        <is>
          <t>—</t>
        </is>
      </c>
      <c r="E14" s="86" t="inlineStr">
        <is>
          <t>—</t>
        </is>
      </c>
      <c r="F14" s="6" t="inlineStr">
        <is>
          <t>Flat funded; two outlier months flagged</t>
        </is>
      </c>
    </row>
    <row r="15" ht="20" customHeight="1">
      <c r="B15" s="81" t="inlineStr">
        <is>
          <t>Internet</t>
        </is>
      </c>
      <c r="C15" s="59" t="n">
        <v>64</v>
      </c>
      <c r="D15" s="82" t="inlineStr">
        <is>
          <t>—</t>
        </is>
      </c>
      <c r="E15" s="83" t="inlineStr">
        <is>
          <t>—</t>
        </is>
      </c>
      <c r="F15" s="16" t="inlineStr">
        <is>
          <t>On promo $24.95 — $39/mo currently sweeps</t>
        </is>
      </c>
    </row>
    <row r="16" ht="20" customHeight="1">
      <c r="B16" s="84" t="inlineStr">
        <is>
          <t>Trash</t>
        </is>
      </c>
      <c r="C16" s="52" t="n">
        <v>23</v>
      </c>
      <c r="D16" s="85" t="inlineStr">
        <is>
          <t>—</t>
        </is>
      </c>
      <c r="E16" s="86" t="inlineStr">
        <is>
          <t>—</t>
        </is>
      </c>
      <c r="F16" s="6" t="inlineStr">
        <is>
          <t>Stable — rarely varies</t>
        </is>
      </c>
    </row>
    <row r="19" ht="22" customHeight="1">
      <c r="B19" s="3" t="inlineStr">
        <is>
          <t>HOW TO ALIGN DUE DATES — 3 moves</t>
        </is>
      </c>
    </row>
    <row r="20" ht="15" customHeight="1">
      <c r="B20" s="88" t="inlineStr">
        <is>
          <t>● Move the due dates</t>
        </is>
      </c>
    </row>
    <row r="21" ht="36" customHeight="1">
      <c r="B21" s="16" t="inlineStr">
        <is>
          <t>Call each biller and ask to shift your due date — almost all say yes. Target 2-3 days after payday so money is always there when the bill hits.</t>
        </is>
      </c>
    </row>
    <row r="22" ht="15" customHeight="1">
      <c r="B22" s="89" t="inlineStr">
        <is>
          <t>● Keep buffers</t>
        </is>
      </c>
    </row>
    <row r="23" ht="36" customHeight="1">
      <c r="B23" s="6" t="inlineStr">
        <is>
          <t>~$1,215 (one month fixed) parked in SoFi checking + $168 in the Flex account. Once those cushions exist, timing stops mattering.</t>
        </is>
      </c>
    </row>
    <row r="24" ht="15" customHeight="1">
      <c r="B24" s="88" t="inlineStr">
        <is>
          <t>● Group by paycheck</t>
        </is>
      </c>
    </row>
    <row r="25" ht="36" customHeight="1">
      <c r="B25" s="16" t="inlineStr">
        <is>
          <t>If paid biweekly, assign bills to specific checks so no single check is over-loaded. Mortgage from the check that clears it; utilities auto-draft mid-month.</t>
        </is>
      </c>
    </row>
  </sheetData>
  <mergeCells count="8">
    <mergeCell ref="B21:F21"/>
    <mergeCell ref="A2:F2"/>
    <mergeCell ref="B12:F12"/>
    <mergeCell ref="A1:F1"/>
    <mergeCell ref="B25:F25"/>
    <mergeCell ref="B19:F19"/>
    <mergeCell ref="B5:F5"/>
    <mergeCell ref="B23:F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2026-06-28T19:04:42Z</dcterms:created>
  <dcterms:modified xsi:type="dcterms:W3CDTF">2026-06-28T19:04:43Z</dcterms:modified>
</cp:coreProperties>
</file>