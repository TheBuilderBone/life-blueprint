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e System" sheetId="1" state="visible" r:id="rId1"/>
    <sheet name="Monthly Check-In" sheetId="2" state="visible" r:id="rId2"/>
    <sheet name="Per Utility" sheetId="3" state="visible" r:id="rId3"/>
    <sheet name="Bill Calendar" sheetId="4" state="visible" r:id="rId4"/>
    <sheet name="Category Rules" sheetId="5" state="visible" r:id="rId5"/>
    <sheet name="Transactions" sheetId="6" state="visible" r:id="rId6"/>
    <sheet name="Monthly Actual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0.0%"/>
    <numFmt numFmtId="166" formatCode="&quot;$&quot;#,##0.00;[Red]-&quot;$&quot;#,##0.00"/>
    <numFmt numFmtId="167" formatCode="YYYY-MM-DD"/>
  </numFmts>
  <fonts count="21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64748B"/>
      <sz val="9"/>
    </font>
    <font>
      <name val="Calibri"/>
      <b val="1"/>
      <color rgb="00FFFFFF"/>
      <sz val="10"/>
    </font>
    <font>
      <name val="Calibri"/>
      <color rgb="001E293B"/>
      <sz val="10"/>
    </font>
    <font>
      <name val="Calibri"/>
      <b val="1"/>
      <color rgb="001E293B"/>
      <sz val="10"/>
    </font>
    <font>
      <name val="Calibri"/>
      <b val="1"/>
      <color rgb="002563EB"/>
      <sz val="10"/>
    </font>
    <font>
      <name val="Calibri"/>
      <i val="1"/>
      <color rgb="002563EB"/>
      <sz val="9"/>
    </font>
    <font>
      <name val="Calibri"/>
      <b val="1"/>
      <color rgb="00FFFFFF"/>
      <sz val="16"/>
    </font>
    <font>
      <name val="Calibri"/>
      <b val="1"/>
      <color rgb="00FFFFFF"/>
      <sz val="9"/>
    </font>
    <font>
      <name val="Calibri"/>
      <b val="1"/>
      <color rgb="001E293B"/>
      <sz val="9"/>
    </font>
    <font>
      <name val="Calibri"/>
      <color rgb="001E293B"/>
      <sz val="9"/>
    </font>
    <font>
      <name val="Calibri"/>
      <color rgb="002563EB"/>
      <sz val="9"/>
    </font>
    <font>
      <name val="Calibri"/>
      <color rgb="0016A34A"/>
      <sz val="9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color rgb="0064748B"/>
      <sz val="9"/>
    </font>
    <font>
      <name val="Calibri"/>
      <b val="1"/>
      <sz val="9"/>
    </font>
    <font>
      <name val="Calibri"/>
      <b val="1"/>
      <color rgb="002563EB"/>
      <sz val="9"/>
    </font>
    <font>
      <name val="Calibri"/>
      <color rgb="007C3AED"/>
      <sz val="9"/>
    </font>
    <font>
      <name val="Calibri"/>
      <color rgb="00D97706"/>
      <sz val="9"/>
    </font>
  </fonts>
  <fills count="2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EFF6FF"/>
      </patternFill>
    </fill>
    <fill>
      <patternFill patternType="solid">
        <fgColor rgb="002563EB"/>
      </patternFill>
    </fill>
    <fill>
      <patternFill patternType="solid">
        <fgColor rgb="00D97706"/>
      </patternFill>
    </fill>
    <fill>
      <patternFill patternType="solid">
        <fgColor rgb="0016A34A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7C3AED"/>
      </patternFill>
    </fill>
    <fill>
      <patternFill patternType="solid">
        <fgColor rgb="00EDE9FE"/>
      </patternFill>
    </fill>
    <fill>
      <patternFill patternType="solid">
        <fgColor rgb="00DBEAFE"/>
      </patternFill>
    </fill>
    <fill>
      <patternFill patternType="solid">
        <fgColor rgb="000EA5E9"/>
      </patternFill>
    </fill>
    <fill>
      <patternFill patternType="solid">
        <fgColor rgb="00F59E0B"/>
      </patternFill>
    </fill>
    <fill>
      <patternFill patternType="solid">
        <fgColor rgb="008B5CF6"/>
      </patternFill>
    </fill>
    <fill>
      <patternFill patternType="solid">
        <fgColor rgb="0010B981"/>
      </patternFill>
    </fill>
    <fill>
      <patternFill patternType="solid">
        <fgColor rgb="00334155"/>
      </patternFill>
    </fill>
    <fill>
      <patternFill patternType="solid">
        <fgColor rgb="00FE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164" fontId="4" fillId="4" borderId="0" applyAlignment="1" pivotButton="0" quotePrefix="0" xfId="0">
      <alignment horizontal="right" vertical="center"/>
    </xf>
    <xf numFmtId="0" fontId="2" fillId="4" borderId="0" applyAlignment="1" pivotButton="0" quotePrefix="0" xfId="0">
      <alignment horizontal="left" vertical="center" wrapText="1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0" fontId="0" fillId="5" borderId="0" pivotButton="0" quotePrefix="0" xfId="0"/>
    <xf numFmtId="0" fontId="0" fillId="4" borderId="0" pivotButton="0" quotePrefix="0" xfId="0"/>
    <xf numFmtId="0" fontId="3" fillId="6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center"/>
    </xf>
    <xf numFmtId="164" fontId="4" fillId="3" borderId="0" applyAlignment="1" pivotButton="0" quotePrefix="0" xfId="0">
      <alignment horizontal="right" vertical="center"/>
    </xf>
    <xf numFmtId="0" fontId="0" fillId="3" borderId="0" pivotButton="0" quotePrefix="0" xfId="0"/>
    <xf numFmtId="0" fontId="3" fillId="7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/>
    </xf>
    <xf numFmtId="0" fontId="5" fillId="9" borderId="0" applyAlignment="1" pivotButton="0" quotePrefix="0" xfId="0">
      <alignment horizontal="left" vertical="center"/>
    </xf>
    <xf numFmtId="164" fontId="5" fillId="9" borderId="0" applyAlignment="1" pivotButton="0" quotePrefix="0" xfId="0">
      <alignment horizontal="right" vertical="center"/>
    </xf>
    <xf numFmtId="0" fontId="2" fillId="9" borderId="0" applyAlignment="1" pivotButton="0" quotePrefix="0" xfId="0">
      <alignment horizontal="left" vertical="center" wrapText="1"/>
    </xf>
    <xf numFmtId="0" fontId="4" fillId="10" borderId="0" applyAlignment="1" pivotButton="0" quotePrefix="0" xfId="0">
      <alignment horizontal="left" vertical="center"/>
    </xf>
    <xf numFmtId="164" fontId="4" fillId="10" borderId="0" applyAlignment="1" pivotButton="0" quotePrefix="0" xfId="0">
      <alignment horizontal="right" vertical="center"/>
    </xf>
    <xf numFmtId="0" fontId="2" fillId="10" borderId="0" applyAlignment="1" pivotButton="0" quotePrefix="0" xfId="0">
      <alignment horizontal="left" vertical="center" wrapText="1"/>
    </xf>
    <xf numFmtId="0" fontId="5" fillId="10" borderId="0" applyAlignment="1" pivotButton="0" quotePrefix="0" xfId="0">
      <alignment horizontal="left" vertical="center"/>
    </xf>
    <xf numFmtId="164" fontId="5" fillId="10" borderId="0" applyAlignment="1" pivotButton="0" quotePrefix="0" xfId="0">
      <alignment horizontal="right" vertical="center"/>
    </xf>
    <xf numFmtId="0" fontId="0" fillId="10" borderId="0" pivotButton="0" quotePrefix="0" xfId="0"/>
    <xf numFmtId="0" fontId="3" fillId="11" borderId="0" applyAlignment="1" pivotButton="0" quotePrefix="0" xfId="0">
      <alignment horizontal="left" vertical="center"/>
    </xf>
    <xf numFmtId="0" fontId="5" fillId="12" borderId="0" applyAlignment="1" pivotButton="0" quotePrefix="0" xfId="0">
      <alignment horizontal="left" vertical="center"/>
    </xf>
    <xf numFmtId="164" fontId="5" fillId="12" borderId="0" applyAlignment="1" pivotButton="0" quotePrefix="0" xfId="0">
      <alignment horizontal="right" vertical="center"/>
    </xf>
    <xf numFmtId="0" fontId="2" fillId="12" borderId="0" applyAlignment="1" pivotButton="0" quotePrefix="0" xfId="0">
      <alignment horizontal="left" vertical="center" wrapText="1"/>
    </xf>
    <xf numFmtId="0" fontId="2" fillId="5" borderId="0" applyAlignment="1" pivotButton="0" quotePrefix="0" xfId="0">
      <alignment horizontal="left" vertical="center" wrapText="1"/>
    </xf>
    <xf numFmtId="164" fontId="0" fillId="3" borderId="0" applyAlignment="1" pivotButton="0" quotePrefix="0" xfId="0">
      <alignment horizontal="right" vertical="center"/>
    </xf>
    <xf numFmtId="0" fontId="6" fillId="13" borderId="0" applyAlignment="1" pivotButton="0" quotePrefix="0" xfId="0">
      <alignment horizontal="left" vertical="center"/>
    </xf>
    <xf numFmtId="164" fontId="6" fillId="13" borderId="0" applyAlignment="1" pivotButton="0" quotePrefix="0" xfId="0">
      <alignment horizontal="right" vertical="center"/>
    </xf>
    <xf numFmtId="0" fontId="7" fillId="1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/>
    </xf>
    <xf numFmtId="164" fontId="5" fillId="3" borderId="0" applyAlignment="1" pivotButton="0" quotePrefix="0" xfId="0">
      <alignment horizontal="right" vertical="center"/>
    </xf>
    <xf numFmtId="165" fontId="5" fillId="10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 vertical="center"/>
    </xf>
    <xf numFmtId="164" fontId="5" fillId="4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center" vertical="center"/>
    </xf>
    <xf numFmtId="0" fontId="9" fillId="15" borderId="0" applyAlignment="1" pivotButton="0" quotePrefix="0" xfId="0">
      <alignment horizontal="center" vertical="center"/>
    </xf>
    <xf numFmtId="0" fontId="9" fillId="16" borderId="0" applyAlignment="1" pivotButton="0" quotePrefix="0" xfId="0">
      <alignment horizontal="center" vertical="center"/>
    </xf>
    <xf numFmtId="0" fontId="9" fillId="17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center" vertical="center"/>
    </xf>
    <xf numFmtId="0" fontId="9" fillId="18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center" vertical="center"/>
    </xf>
    <xf numFmtId="0" fontId="9" fillId="8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164" fontId="11" fillId="4" borderId="0" applyAlignment="1" pivotButton="0" quotePrefix="0" xfId="0">
      <alignment horizontal="center" vertical="center"/>
    </xf>
    <xf numFmtId="164" fontId="10" fillId="4" borderId="0" applyAlignment="1" pivotButton="0" quotePrefix="0" xfId="0">
      <alignment horizontal="center" vertical="center"/>
    </xf>
    <xf numFmtId="164" fontId="12" fillId="4" borderId="0" applyAlignment="1" pivotButton="0" quotePrefix="0" xfId="0">
      <alignment horizontal="center" vertical="center"/>
    </xf>
    <xf numFmtId="166" fontId="10" fillId="4" borderId="0" applyAlignment="1" pivotButton="0" quotePrefix="0" xfId="0">
      <alignment horizontal="center" vertical="center"/>
    </xf>
    <xf numFmtId="164" fontId="13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center" vertical="center"/>
    </xf>
    <xf numFmtId="164" fontId="11" fillId="3" borderId="0" applyAlignment="1" pivotButton="0" quotePrefix="0" xfId="0">
      <alignment horizontal="center" vertical="center"/>
    </xf>
    <xf numFmtId="164" fontId="10" fillId="3" borderId="0" applyAlignment="1" pivotButton="0" quotePrefix="0" xfId="0">
      <alignment horizontal="center" vertical="center"/>
    </xf>
    <xf numFmtId="164" fontId="12" fillId="3" borderId="0" applyAlignment="1" pivotButton="0" quotePrefix="0" xfId="0">
      <alignment horizontal="center" vertical="center"/>
    </xf>
    <xf numFmtId="166" fontId="10" fillId="3" borderId="0" applyAlignment="1" pivotButton="0" quotePrefix="0" xfId="0">
      <alignment horizontal="center" vertical="center"/>
    </xf>
    <xf numFmtId="164" fontId="13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0" fontId="15" fillId="1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center" vertical="center"/>
    </xf>
    <xf numFmtId="164" fontId="16" fillId="4" borderId="0" applyAlignment="1" pivotButton="0" quotePrefix="0" xfId="0">
      <alignment horizontal="center" vertical="center"/>
    </xf>
    <xf numFmtId="166" fontId="11" fillId="4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164" fontId="16" fillId="3" borderId="0" applyAlignment="1" pivotButton="0" quotePrefix="0" xfId="0">
      <alignment horizontal="center" vertical="center"/>
    </xf>
    <xf numFmtId="166" fontId="11" fillId="3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164" fontId="17" fillId="3" borderId="0" applyAlignment="1" pivotButton="0" quotePrefix="0" xfId="0">
      <alignment horizontal="center" vertical="center"/>
    </xf>
    <xf numFmtId="166" fontId="17" fillId="3" borderId="0" applyAlignment="1" pivotButton="0" quotePrefix="0" xfId="0">
      <alignment horizontal="center" vertical="center"/>
    </xf>
    <xf numFmtId="0" fontId="15" fillId="15" borderId="0" applyAlignment="1" pivotButton="0" quotePrefix="0" xfId="0">
      <alignment horizontal="left" vertical="center"/>
    </xf>
    <xf numFmtId="0" fontId="15" fillId="16" borderId="0" applyAlignment="1" pivotButton="0" quotePrefix="0" xfId="0">
      <alignment horizontal="left" vertical="center"/>
    </xf>
    <xf numFmtId="0" fontId="15" fillId="17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left" vertical="center"/>
    </xf>
    <xf numFmtId="0" fontId="16" fillId="4" borderId="0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vertical="center"/>
    </xf>
    <xf numFmtId="0" fontId="17" fillId="3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left" vertical="center"/>
    </xf>
    <xf numFmtId="0" fontId="18" fillId="3" borderId="0" applyAlignment="1" pivotButton="0" quotePrefix="0" xfId="0">
      <alignment horizontal="left" vertical="center"/>
    </xf>
    <xf numFmtId="0" fontId="18" fillId="4" borderId="0" pivotButton="0" quotePrefix="0" xfId="0"/>
    <xf numFmtId="0" fontId="11" fillId="4" borderId="0" pivotButton="0" quotePrefix="0" xfId="0"/>
    <xf numFmtId="0" fontId="18" fillId="3" borderId="0" pivotButton="0" quotePrefix="0" xfId="0"/>
    <xf numFmtId="0" fontId="11" fillId="3" borderId="0" pivotButton="0" quotePrefix="0" xfId="0"/>
    <xf numFmtId="0" fontId="9" fillId="11" borderId="0" applyAlignment="1" pivotButton="0" quotePrefix="0" xfId="0">
      <alignment horizontal="center" vertical="center"/>
    </xf>
    <xf numFmtId="167" fontId="12" fillId="5" borderId="0" applyAlignment="1" pivotButton="0" quotePrefix="0" xfId="0">
      <alignment horizontal="center" vertical="center"/>
    </xf>
    <xf numFmtId="0" fontId="12" fillId="5" borderId="0" applyAlignment="1" pivotButton="0" quotePrefix="0" xfId="0">
      <alignment horizontal="left" vertical="center"/>
    </xf>
    <xf numFmtId="164" fontId="12" fillId="5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center" vertical="center"/>
    </xf>
    <xf numFmtId="0" fontId="20" fillId="4" borderId="0" applyAlignment="1" pivotButton="0" quotePrefix="0" xfId="0">
      <alignment horizontal="center" vertical="center"/>
    </xf>
    <xf numFmtId="0" fontId="13" fillId="4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 vertical="center"/>
    </xf>
    <xf numFmtId="167" fontId="11" fillId="3" borderId="0" applyAlignment="1" pivotButton="0" quotePrefix="0" xfId="0">
      <alignment horizontal="center" vertical="center"/>
    </xf>
    <xf numFmtId="0" fontId="20" fillId="19" borderId="0" applyAlignment="1" pivotButton="0" quotePrefix="0" xfId="0">
      <alignment horizontal="center" vertical="center"/>
    </xf>
    <xf numFmtId="167" fontId="11" fillId="4" borderId="0" applyAlignment="1" pivotButton="0" quotePrefix="0" xfId="0">
      <alignment horizontal="center" vertical="center"/>
    </xf>
    <xf numFmtId="0" fontId="6" fillId="13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left" vertical="center"/>
    </xf>
    <xf numFmtId="164" fontId="19" fillId="3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left" vertical="center"/>
    </xf>
    <xf numFmtId="164" fontId="19" fillId="4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/>
    </xf>
    <xf numFmtId="164" fontId="9" fillId="2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b val="1"/>
        <color rgb="00065F46"/>
        <sz val="9"/>
      </font>
      <fill>
        <patternFill patternType="solid">
          <fgColor rgb="00DCFCE7"/>
        </patternFill>
      </fill>
    </dxf>
    <dxf>
      <font>
        <name val="Calibri"/>
        <b val="1"/>
        <color rgb="00991B1B"/>
        <sz val="9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40</row>
      <rowOff>0</rowOff>
    </from>
    <ext cx="6858000" cy="3143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62</row>
      <rowOff>0</rowOff>
    </from>
    <ext cx="6858000" cy="3810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89</row>
      <rowOff>0</rowOff>
    </from>
    <ext cx="6477000" cy="28575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89</row>
      <rowOff>0</rowOff>
    </from>
    <ext cx="6477000" cy="28575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109</row>
      <rowOff>0</rowOff>
    </from>
    <ext cx="6477000" cy="28575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109</row>
      <rowOff>0</rowOff>
    </from>
    <ext cx="6477000" cy="28575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4" customWidth="1" min="3" max="3"/>
    <col width="36" customWidth="1" min="4" max="4"/>
  </cols>
  <sheetData>
    <row r="1" ht="40" customHeight="1">
      <c r="A1" s="1" t="inlineStr">
        <is>
          <t>THE SYSTEM — FIXED vs FLEX</t>
        </is>
      </c>
    </row>
    <row r="2" ht="18" customHeight="1">
      <c r="A2" s="2" t="inlineStr">
        <is>
          <t>Flex utilities run on 12 months of YOUR real data  ·  fixed bills run themselves</t>
        </is>
      </c>
    </row>
    <row r="4" ht="22" customHeight="1">
      <c r="A4" s="3" t="inlineStr">
        <is>
          <t>INCOME  (spendable)</t>
        </is>
      </c>
    </row>
    <row r="5" ht="20" customHeight="1">
      <c r="B5" s="4" t="inlineStr">
        <is>
          <t>Coca-Cola take-home</t>
        </is>
      </c>
      <c r="C5" s="5" t="n">
        <v>2560</v>
      </c>
      <c r="D5" s="6" t="inlineStr">
        <is>
          <t>Main job</t>
        </is>
      </c>
    </row>
    <row r="6" ht="20" customHeight="1">
      <c r="B6" s="4" t="inlineStr">
        <is>
          <t>Side work  ($15 × 8hr × 4d)</t>
        </is>
      </c>
      <c r="C6" s="5" t="n">
        <v>480</v>
      </c>
      <c r="D6" s="6" t="inlineStr">
        <is>
          <t>Variable — could flex up or down</t>
        </is>
      </c>
    </row>
    <row r="7" ht="20" customHeight="1">
      <c r="B7" s="4" t="inlineStr">
        <is>
          <t>Shane (rent + utility share)</t>
        </is>
      </c>
      <c r="C7" s="5" t="n">
        <v>628</v>
      </c>
      <c r="D7" s="6" t="inlineStr">
        <is>
          <t>⚠ AT RISK — see contingency below</t>
        </is>
      </c>
    </row>
    <row r="8" ht="20" customHeight="1">
      <c r="B8" s="7" t="inlineStr">
        <is>
          <t>TOTAL SPENDABLE</t>
        </is>
      </c>
      <c r="C8" s="8" t="n">
        <v>3668</v>
      </c>
      <c r="D8" s="9" t="n"/>
    </row>
    <row r="9" ht="20" customHeight="1">
      <c r="B9" s="4" t="inlineStr">
        <is>
          <t>Motus reimbursement  (~$372/mo)</t>
        </is>
      </c>
      <c r="C9" s="10" t="n"/>
      <c r="D9" s="6" t="inlineStr">
        <is>
          <t>NOT income — offsets commute gas; don't spend as fun money.</t>
        </is>
      </c>
    </row>
    <row r="10" ht="8" customHeight="1"/>
    <row r="11" ht="22" customHeight="1">
      <c r="A11" s="11" t="inlineStr">
        <is>
          <t>ACCOUNT 1 · FIXED  — auto-pay, set &amp; forget</t>
        </is>
      </c>
    </row>
    <row r="12" ht="20" customHeight="1">
      <c r="B12" s="12" t="inlineStr">
        <is>
          <t>Mortgage</t>
        </is>
      </c>
      <c r="C12" s="13" t="n">
        <v>837</v>
      </c>
      <c r="D12" s="14" t="n"/>
    </row>
    <row r="13" ht="20" customHeight="1">
      <c r="B13" s="4" t="inlineStr">
        <is>
          <t>House insurance</t>
        </is>
      </c>
      <c r="C13" s="5" t="n">
        <v>190</v>
      </c>
      <c r="D13" s="10" t="n"/>
    </row>
    <row r="14" ht="20" customHeight="1">
      <c r="B14" s="12" t="inlineStr">
        <is>
          <t>Auto insurance</t>
        </is>
      </c>
      <c r="C14" s="13" t="n">
        <v>79</v>
      </c>
      <c r="D14" s="14" t="n"/>
    </row>
    <row r="15" ht="20" customHeight="1">
      <c r="B15" s="4" t="inlineStr">
        <is>
          <t>Property tax  (set-aside)</t>
        </is>
      </c>
      <c r="C15" s="5" t="n">
        <v>54</v>
      </c>
      <c r="D15" s="10" t="n"/>
    </row>
    <row r="16" ht="20" customHeight="1">
      <c r="B16" s="12" t="inlineStr">
        <is>
          <t>Phone</t>
        </is>
      </c>
      <c r="C16" s="13" t="n">
        <v>55</v>
      </c>
      <c r="D16" s="14" t="n"/>
    </row>
    <row r="17" ht="20" customHeight="1">
      <c r="B17" s="7" t="inlineStr">
        <is>
          <t>FIXED TOTAL</t>
        </is>
      </c>
      <c r="C17" s="8" t="n">
        <v>1215</v>
      </c>
      <c r="D17" s="9" t="n"/>
    </row>
    <row r="18" ht="8" customHeight="1"/>
    <row r="19" ht="22" customHeight="1">
      <c r="A19" s="15" t="inlineStr">
        <is>
          <t>ACCOUNT 2 · FLEX  — fund $630 flat every month</t>
        </is>
      </c>
    </row>
    <row r="20" ht="20" customHeight="1">
      <c r="B20" s="12" t="inlineStr">
        <is>
          <t>Water  (avg + 1 SD, 12-mo data)</t>
        </is>
      </c>
      <c r="C20" s="13" t="n">
        <v>90</v>
      </c>
      <c r="D20" s="16" t="inlineStr">
        <is>
          <t>~$45 is a leak hedge — if leak confirmed fixed, drop to $45 and free $45/mo</t>
        </is>
      </c>
    </row>
    <row r="21" ht="20" customHeight="1">
      <c r="B21" s="4" t="inlineStr">
        <is>
          <t>Power  (avg + 1 SD — peaks Jan/Jul)</t>
        </is>
      </c>
      <c r="C21" s="5" t="n">
        <v>453</v>
      </c>
      <c r="D21" s="6" t="inlineStr">
        <is>
          <t>Strong seasonal pattern; flat funding + buffer absorbs swings</t>
        </is>
      </c>
    </row>
    <row r="22" ht="20" customHeight="1">
      <c r="B22" s="12" t="inlineStr">
        <is>
          <t>Internet  (hedge for promo expiry)</t>
        </is>
      </c>
      <c r="C22" s="13" t="n">
        <v>64</v>
      </c>
      <c r="D22" s="16" t="inlineStr">
        <is>
          <t>Currently $24.95/mo promo — ~$39/mo sweeps to savings until rate changes</t>
        </is>
      </c>
    </row>
    <row r="23" ht="20" customHeight="1">
      <c r="B23" s="4" t="inlineStr">
        <is>
          <t>Trash</t>
        </is>
      </c>
      <c r="C23" s="5" t="n">
        <v>23</v>
      </c>
      <c r="D23" s="10" t="n"/>
    </row>
    <row r="24" ht="20" customHeight="1">
      <c r="B24" s="7" t="inlineStr">
        <is>
          <t>UTILITIES SUBTOTAL  (fund flat)</t>
        </is>
      </c>
      <c r="C24" s="8" t="n">
        <v>630</v>
      </c>
      <c r="D24" s="9" t="n"/>
    </row>
    <row r="25" ht="20" customHeight="1">
      <c r="B25" s="12" t="inlineStr">
        <is>
          <t>Gas  (commute, est.)</t>
        </is>
      </c>
      <c r="C25" s="13" t="n">
        <v>430</v>
      </c>
      <c r="D25" s="16" t="inlineStr">
        <is>
          <t>Motus ~$372 offsets; real net gas ≈ $58</t>
        </is>
      </c>
    </row>
    <row r="26" ht="20" customHeight="1">
      <c r="B26" s="4" t="inlineStr">
        <is>
          <t>Groceries  (est.)</t>
        </is>
      </c>
      <c r="C26" s="5" t="n">
        <v>400</v>
      </c>
      <c r="D26" s="10" t="n"/>
    </row>
    <row r="27" ht="20" customHeight="1">
      <c r="B27" s="7" t="inlineStr">
        <is>
          <t>FLEX TOTAL</t>
        </is>
      </c>
      <c r="C27" s="8" t="n">
        <v>1460</v>
      </c>
      <c r="D27" s="9" t="n"/>
    </row>
    <row r="28" ht="20" customHeight="1">
      <c r="B28" s="12" t="inlineStr">
        <is>
          <t>⚓  Standing buffer  (never sweep)</t>
        </is>
      </c>
      <c r="C28" s="13" t="n">
        <v>167.63</v>
      </c>
      <c r="D28" s="16" t="inlineStr">
        <is>
          <t>Absorbs worst single month across all utilities simultaneously</t>
        </is>
      </c>
    </row>
    <row r="29" ht="8" customHeight="1"/>
    <row r="30" ht="22" customHeight="1">
      <c r="A30" s="17" t="inlineStr">
        <is>
          <t>LEFTOVER  →  splits to savings + spending</t>
        </is>
      </c>
    </row>
    <row r="31" ht="20" customHeight="1">
      <c r="B31" s="7" t="inlineStr">
        <is>
          <t>Leftover after fixed + flex</t>
        </is>
      </c>
      <c r="C31" s="8" t="n">
        <v>993</v>
      </c>
      <c r="D31" s="9" t="n"/>
    </row>
    <row r="32" ht="20" customHeight="1">
      <c r="B32" s="18" t="inlineStr">
        <is>
          <t>⚠  If Shane's $628 stops → leftover</t>
        </is>
      </c>
      <c r="C32" s="19" t="n">
        <v>365</v>
      </c>
      <c r="D32" s="20" t="inlineStr">
        <is>
          <t>PLAN AROUND THIS NUMBER  ·  treat Shane's $628 as a savings bonus if it comes</t>
        </is>
      </c>
    </row>
    <row r="33" ht="8" customHeight="1"/>
    <row r="34" ht="22" customHeight="1">
      <c r="A34" s="3" t="inlineStr">
        <is>
          <t>ACCOUNTS 3 + 4 · SPENDING + SAVINGS</t>
        </is>
      </c>
    </row>
    <row r="35" ht="20" customHeight="1">
      <c r="B35" s="12" t="inlineStr">
        <is>
          <t>SPENDING — AOD card  (monthly load)</t>
        </is>
      </c>
      <c r="C35" s="13" t="n">
        <v>500</v>
      </c>
      <c r="D35" s="16" t="inlineStr">
        <is>
          <t>Only card in your wallet. Balance = your tracker. Lower this to save more.</t>
        </is>
      </c>
    </row>
    <row r="36" ht="20" customHeight="1">
      <c r="B36" s="21" t="inlineStr">
        <is>
          <t>SAVINGS — SoFi Vaults  (what's left)</t>
        </is>
      </c>
      <c r="C36" s="22" t="n">
        <v>493</v>
      </c>
      <c r="D36" s="23" t="inlineStr">
        <is>
          <t>Emergency Fund + Move/Career Fund  ·  paid FIRST on payday</t>
        </is>
      </c>
    </row>
    <row r="37" ht="8" customHeight="1"/>
    <row r="38" ht="22" customHeight="1">
      <c r="A38" s="17" t="inlineStr">
        <is>
          <t>BUILT-IN PADDING (sweeps to savings automatically)</t>
        </is>
      </c>
    </row>
    <row r="39" ht="20" customHeight="1">
      <c r="B39" s="12" t="inlineStr">
        <is>
          <t>Water leak hedge  (if leak fixed, reclaim)</t>
        </is>
      </c>
      <c r="C39" s="13" t="n">
        <v>45</v>
      </c>
      <c r="D39" s="16" t="inlineStr">
        <is>
          <t>Run: python analyze.py exclude Water 2026-04 / 2026-06 to recalculate</t>
        </is>
      </c>
    </row>
    <row r="40" ht="20" customHeight="1">
      <c r="B40" s="4" t="inlineStr">
        <is>
          <t>Internet promo surplus  (~$39/mo right now)</t>
        </is>
      </c>
      <c r="C40" s="5" t="n">
        <v>39</v>
      </c>
      <c r="D40" s="6" t="inlineStr">
        <is>
          <t>Sweeps automatically until rate changes</t>
        </is>
      </c>
    </row>
    <row r="41" ht="20" customHeight="1">
      <c r="B41" s="24" t="inlineStr">
        <is>
          <t>Hidden savings in flex (approx.)</t>
        </is>
      </c>
      <c r="C41" s="25" t="n">
        <v>84</v>
      </c>
      <c r="D41" s="26" t="n"/>
    </row>
    <row r="42" ht="8" customHeight="1"/>
    <row r="43" ht="22" customHeight="1">
      <c r="A43" s="27" t="inlineStr">
        <is>
          <t>SELF-EMPLOYMENT TAX RESERVE  (1099 side work)</t>
        </is>
      </c>
    </row>
    <row r="44" ht="20" customHeight="1">
      <c r="B44" s="12" t="inlineStr">
        <is>
          <t>Side work gross  (from income above)</t>
        </is>
      </c>
      <c r="C44" s="13" t="n">
        <v>480</v>
      </c>
      <c r="D44" s="16" t="inlineStr">
        <is>
          <t>1099 — no taxes withheld; this must come out before you touch the money</t>
        </is>
      </c>
    </row>
    <row r="45" ht="20" customHeight="1">
      <c r="B45" s="28" t="inlineStr">
        <is>
          <t>Monthly reserve  (28% — SE tax 15.3% + income tax est.)</t>
        </is>
      </c>
      <c r="C45" s="29" t="n">
        <v>134.4</v>
      </c>
      <c r="D45" s="30" t="inlineStr">
        <is>
          <t>Transfer on every payday before spending any side income</t>
        </is>
      </c>
    </row>
    <row r="46" ht="20" customHeight="1">
      <c r="B46" s="12" t="inlineStr">
        <is>
          <t>True spendable from side work</t>
        </is>
      </c>
      <c r="C46" s="13" t="n">
        <v>345.6</v>
      </c>
      <c r="D46" s="16" t="inlineStr">
        <is>
          <t>What's actually yours after the tax reserve is parked</t>
        </is>
      </c>
    </row>
    <row r="47" ht="8" customHeight="1"/>
    <row r="48" ht="22" customHeight="1">
      <c r="A48" s="15" t="inlineStr">
        <is>
          <t>SINKING FUNDS  — annual / irregular costs ÷ 12</t>
        </is>
      </c>
    </row>
    <row r="49" ht="20" customHeight="1">
      <c r="B49" s="12" t="inlineStr">
        <is>
          <t>Truck maintenance  (1999 Silverado, self-maintained)</t>
        </is>
      </c>
      <c r="C49" s="13" t="n">
        <v>75</v>
      </c>
      <c r="D49" s="16" t="inlineStr">
        <is>
          <t>~$900/yr est. · adjust to your history</t>
        </is>
      </c>
    </row>
    <row r="50" ht="20" customHeight="1">
      <c r="B50" s="4" t="inlineStr">
        <is>
          <t>Vehicle registration  (AL, annual)</t>
        </is>
      </c>
      <c r="C50" s="5" t="n">
        <v>17</v>
      </c>
      <c r="D50" s="6" t="inlineStr">
        <is>
          <t>~$200/yr ÷ 12</t>
        </is>
      </c>
    </row>
    <row r="51" ht="20" customHeight="1">
      <c r="B51" s="12" t="inlineStr">
        <is>
          <t>Annual insurance premiums  (if any lump-sum)</t>
        </is>
      </c>
      <c r="C51" s="13" t="n">
        <v>0</v>
      </c>
      <c r="D51" s="16" t="inlineStr">
        <is>
          <t>$0 if already paying monthly — update if any biller charges annually</t>
        </is>
      </c>
    </row>
    <row r="52" ht="20" customHeight="1">
      <c r="B52" s="7" t="inlineStr">
        <is>
          <t>SINKING TOTAL  — set aside monthly</t>
        </is>
      </c>
      <c r="C52" s="8" t="n">
        <v>92</v>
      </c>
      <c r="D52" s="31" t="inlineStr">
        <is>
          <t>Park in a labeled savings vault; pull from it when the bill hits</t>
        </is>
      </c>
    </row>
    <row r="53" ht="8" customHeight="1"/>
    <row r="54" ht="22" customHeight="1">
      <c r="A54" s="11" t="inlineStr">
        <is>
          <t>INCOME TRAJECTORY  — current effective wage → target</t>
        </is>
      </c>
    </row>
    <row r="55" ht="20" customHeight="1">
      <c r="B55" s="12" t="inlineStr">
        <is>
          <t>Current effective wage  (50hr wk + 7hr commute)</t>
        </is>
      </c>
      <c r="C55" s="32" t="n">
        <v>11.81</v>
      </c>
      <c r="D55" s="16" t="inlineStr">
        <is>
          <t>$2,560 take-home ÷ ~217 hrs/mo (50hr work + 7hr commute = ~7hr/day)</t>
        </is>
      </c>
    </row>
    <row r="56" ht="20" customHeight="1">
      <c r="B56" s="4" t="inlineStr">
        <is>
          <t>Current monthly take-home  (Coke only)</t>
        </is>
      </c>
      <c r="C56" s="5" t="n">
        <v>2560</v>
      </c>
      <c r="D56" s="6" t="inlineStr">
        <is>
          <t>Baseline — side work net is on top of this</t>
        </is>
      </c>
    </row>
    <row r="57" ht="20" customHeight="1">
      <c r="B57" s="12" t="inlineStr">
        <is>
          <t>Target wage after retraining  ($20–25/hr, $22 midpoint)</t>
        </is>
      </c>
      <c r="C57" s="32" t="n">
        <v>22</v>
      </c>
      <c r="D57" s="16" t="inlineStr">
        <is>
          <t>Midpoint of stated $20–25/hr range</t>
        </is>
      </c>
    </row>
    <row r="58" ht="20" customHeight="1">
      <c r="B58" s="4" t="inlineStr">
        <is>
          <t>Est. take-home at $22/hr  (40hr/wk, ~72% net)</t>
        </is>
      </c>
      <c r="C58" s="5" t="n">
        <v>2745.6</v>
      </c>
      <c r="D58" s="6" t="inlineStr">
        <is>
          <t>Rough estimate — actual varies by deductions</t>
        </is>
      </c>
    </row>
    <row r="59" ht="20" customHeight="1">
      <c r="B59" s="24" t="inlineStr">
        <is>
          <t>Monthly income gain at target</t>
        </is>
      </c>
      <c r="C59" s="25" t="n">
        <v>185.6</v>
      </c>
      <c r="D59" s="23" t="inlineStr">
        <is>
          <t>Extra per month once you land the better role</t>
        </is>
      </c>
    </row>
    <row r="60" ht="8" customHeight="1"/>
    <row r="61" ht="22" customHeight="1">
      <c r="A61" s="17" t="inlineStr">
        <is>
          <t>SAVINGS GOALS  (sequential — ① Emergency Fund first)</t>
        </is>
      </c>
    </row>
    <row r="62" ht="22" customHeight="1">
      <c r="A62" s="33" t="inlineStr">
        <is>
          <t>Current savings balance  ← UPDATE THIS INPUT</t>
        </is>
      </c>
      <c r="C62" s="34" t="n">
        <v>502.15</v>
      </c>
      <c r="D62" s="35" t="inlineStr">
        <is>
          <t>Blue = input cell  ·  enter your actual savings balance here</t>
        </is>
      </c>
    </row>
    <row r="63" ht="6" customHeight="1"/>
    <row r="64" ht="20" customHeight="1">
      <c r="B64" s="36" t="inlineStr">
        <is>
          <t>① EMERGENCY FUND — target</t>
        </is>
      </c>
      <c r="C64" s="37" t="n">
        <v>7000</v>
      </c>
      <c r="D64" s="14" t="n"/>
    </row>
    <row r="65" ht="20" customHeight="1">
      <c r="B65" s="12" t="inlineStr">
        <is>
          <t xml:space="preserve">   Current  (from balance above)</t>
        </is>
      </c>
      <c r="C65" s="13">
        <f>MIN(C62,7000)</f>
        <v/>
      </c>
      <c r="D65" s="14" t="n"/>
    </row>
    <row r="66" ht="20" customHeight="1">
      <c r="B66" s="12" t="inlineStr">
        <is>
          <t xml:space="preserve">   Remaining</t>
        </is>
      </c>
      <c r="C66" s="13">
        <f>MAX(0,C64-C65)</f>
        <v/>
      </c>
      <c r="D66" s="14" t="n"/>
    </row>
    <row r="67" ht="20" customHeight="1">
      <c r="B67" s="24" t="inlineStr">
        <is>
          <t xml:space="preserve">   % Complete</t>
        </is>
      </c>
      <c r="C67" s="38">
        <f>IFERROR(C65/C64,0)</f>
        <v/>
      </c>
      <c r="D67" s="26" t="n"/>
    </row>
    <row r="68" ht="6" customHeight="1"/>
    <row r="69" ht="20" customHeight="1">
      <c r="B69" s="39" t="inlineStr">
        <is>
          <t>② SEPTIC FUND — target  (starts after EF hits $7,000)</t>
        </is>
      </c>
      <c r="C69" s="40" t="n">
        <v>7285</v>
      </c>
      <c r="D69" s="10" t="n"/>
    </row>
    <row r="70" ht="20" customHeight="1">
      <c r="B70" s="4" t="inlineStr">
        <is>
          <t xml:space="preserve">   Current  (balance above − $7,000 EF)</t>
        </is>
      </c>
      <c r="C70" s="5">
        <f>MAX(0,C62-7000)</f>
        <v/>
      </c>
      <c r="D70" s="10" t="n"/>
    </row>
    <row r="71" ht="20" customHeight="1">
      <c r="B71" s="12" t="inlineStr">
        <is>
          <t xml:space="preserve">   Remaining</t>
        </is>
      </c>
      <c r="C71" s="13">
        <f>MAX(0,C69-C70)</f>
        <v/>
      </c>
      <c r="D71" s="14" t="n"/>
    </row>
    <row r="72" ht="20" customHeight="1">
      <c r="B72" s="24" t="inlineStr">
        <is>
          <t xml:space="preserve">   % Complete</t>
        </is>
      </c>
      <c r="C72" s="38">
        <f>IFERROR(C70/C69,0)</f>
        <v/>
      </c>
      <c r="D72" s="26" t="n"/>
    </row>
    <row r="73" ht="8" customHeight="1"/>
    <row r="74" ht="22" customHeight="1">
      <c r="A74" s="3" t="inlineStr">
        <is>
          <t>REVISED MONTHLY PICTURE  (after tax reserve + sinking funds)</t>
        </is>
      </c>
    </row>
    <row r="75" ht="20" customHeight="1">
      <c r="B75" s="12" t="inlineStr">
        <is>
          <t>Gross leftover  (after fixed + flex)</t>
        </is>
      </c>
      <c r="C75" s="13" t="n">
        <v>993</v>
      </c>
      <c r="D75" s="14" t="n"/>
    </row>
    <row r="76" ht="20" customHeight="1">
      <c r="B76" s="4" t="inlineStr">
        <is>
          <t xml:space="preserve">  Less: SE tax reserve</t>
        </is>
      </c>
      <c r="C76" s="5" t="n">
        <v>-134.4</v>
      </c>
      <c r="D76" s="10" t="n"/>
    </row>
    <row r="77" ht="20" customHeight="1">
      <c r="B77" s="12" t="inlineStr">
        <is>
          <t xml:space="preserve">  Less: sinking funds</t>
        </is>
      </c>
      <c r="C77" s="13" t="n">
        <v>-92</v>
      </c>
      <c r="D77" s="14" t="n"/>
    </row>
    <row r="78" ht="20" customHeight="1">
      <c r="B78" s="7" t="inlineStr">
        <is>
          <t>TRUE MONTHLY AVAILABLE</t>
        </is>
      </c>
      <c r="C78" s="8" t="n">
        <v>766.6</v>
      </c>
      <c r="D78" s="9" t="n"/>
    </row>
    <row r="79" ht="20" customHeight="1">
      <c r="B79" s="18" t="inlineStr">
        <is>
          <t xml:space="preserve">  If Shane's $628 stops → true available</t>
        </is>
      </c>
      <c r="C79" s="19" t="n">
        <v>138.6</v>
      </c>
      <c r="D79" s="20" t="inlineStr">
        <is>
          <t>Hard number — build the system around this floor</t>
        </is>
      </c>
    </row>
  </sheetData>
  <mergeCells count="14">
    <mergeCell ref="A1:D1"/>
    <mergeCell ref="A62:B62"/>
    <mergeCell ref="A61:D61"/>
    <mergeCell ref="A74:D74"/>
    <mergeCell ref="A11:D11"/>
    <mergeCell ref="A34:D34"/>
    <mergeCell ref="A4:D4"/>
    <mergeCell ref="A48:D48"/>
    <mergeCell ref="A30:D30"/>
    <mergeCell ref="A38:D38"/>
    <mergeCell ref="A54:D54"/>
    <mergeCell ref="A43:D4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1" customWidth="1" min="4" max="4"/>
    <col width="9" customWidth="1" min="5" max="5"/>
    <col width="13" customWidth="1" min="6" max="6"/>
    <col width="10" customWidth="1" min="7" max="7"/>
    <col width="14" customWidth="1" min="8" max="8"/>
    <col width="14" customWidth="1" min="9" max="9"/>
    <col width="13" customWidth="1" min="10" max="10"/>
    <col width="22" customWidth="1" min="11" max="11"/>
  </cols>
  <sheetData>
    <row r="1" ht="34" customHeight="1">
      <c r="A1" s="41" t="inlineStr">
        <is>
          <t>MONTHLY CHECK-IN &amp; SWEEP LOG</t>
        </is>
      </c>
    </row>
    <row r="2" ht="18" customHeight="1">
      <c r="A2" s="2" t="inlineStr">
        <is>
          <t>Fund $630 flat every month · fill in actual bills · green = surplus sweep to savings · red = buffer drawn</t>
        </is>
      </c>
    </row>
    <row r="4" ht="28" customHeight="1">
      <c r="A4" s="42" t="inlineStr">
        <is>
          <t>Month</t>
        </is>
      </c>
      <c r="B4" s="43" t="inlineStr">
        <is>
          <t>Water</t>
        </is>
      </c>
      <c r="C4" s="44" t="inlineStr">
        <is>
          <t>Power</t>
        </is>
      </c>
      <c r="D4" s="45" t="inlineStr">
        <is>
          <t>Internet</t>
        </is>
      </c>
      <c r="E4" s="46" t="inlineStr">
        <is>
          <t>Trash</t>
        </is>
      </c>
      <c r="F4" s="42" t="inlineStr">
        <is>
          <t>Total Actual</t>
        </is>
      </c>
      <c r="G4" s="47" t="inlineStr">
        <is>
          <t>Funded</t>
        </is>
      </c>
      <c r="H4" s="48" t="inlineStr">
        <is>
          <t>Net  (+/−)</t>
        </is>
      </c>
      <c r="I4" s="49" t="inlineStr">
        <is>
          <t>Buffer Bal</t>
        </is>
      </c>
      <c r="J4" s="50" t="inlineStr">
        <is>
          <t>→ Savings</t>
        </is>
      </c>
      <c r="K4" s="42" t="inlineStr">
        <is>
          <t>Notes</t>
        </is>
      </c>
    </row>
    <row r="5" ht="20" customHeight="1">
      <c r="A5" s="51" t="inlineStr">
        <is>
          <t>Jun '25</t>
        </is>
      </c>
      <c r="B5" s="52" t="n">
        <v>22.5</v>
      </c>
      <c r="C5" s="52" t="n">
        <v>368.62</v>
      </c>
      <c r="D5" s="52" t="n">
        <v>42.97</v>
      </c>
      <c r="E5" s="52" t="n">
        <v>21.37</v>
      </c>
      <c r="F5" s="53" t="n">
        <v>455.46</v>
      </c>
      <c r="G5" s="54" t="n">
        <v>630</v>
      </c>
      <c r="H5" s="55" t="n">
        <v>174.54</v>
      </c>
      <c r="I5" s="52" t="n">
        <v>167.63</v>
      </c>
      <c r="J5" s="56" t="n">
        <v>174.54</v>
      </c>
      <c r="K5" s="57" t="n"/>
    </row>
    <row r="6" ht="20" customHeight="1">
      <c r="A6" s="58" t="inlineStr">
        <is>
          <t>Jul '25</t>
        </is>
      </c>
      <c r="B6" s="59" t="n">
        <v>28.32</v>
      </c>
      <c r="C6" s="59" t="n">
        <v>440.17</v>
      </c>
      <c r="D6" s="59" t="n">
        <v>42.98</v>
      </c>
      <c r="E6" s="59" t="n">
        <v>24.77</v>
      </c>
      <c r="F6" s="60" t="n">
        <v>536.24</v>
      </c>
      <c r="G6" s="61" t="n">
        <v>630</v>
      </c>
      <c r="H6" s="62" t="n">
        <v>93.76000000000001</v>
      </c>
      <c r="I6" s="59" t="n">
        <v>167.63</v>
      </c>
      <c r="J6" s="63" t="n">
        <v>93.76000000000001</v>
      </c>
      <c r="K6" s="2" t="n"/>
    </row>
    <row r="7" ht="20" customHeight="1">
      <c r="A7" s="51" t="inlineStr">
        <is>
          <t>Aug '25</t>
        </is>
      </c>
      <c r="B7" s="52" t="n">
        <v>24.35</v>
      </c>
      <c r="C7" s="52" t="n">
        <v>429.27</v>
      </c>
      <c r="D7" s="52" t="n">
        <v>42.98</v>
      </c>
      <c r="E7" s="52" t="n"/>
      <c r="F7" s="53" t="n">
        <v>496.6</v>
      </c>
      <c r="G7" s="54" t="n">
        <v>630</v>
      </c>
      <c r="H7" s="55" t="n">
        <v>133.4</v>
      </c>
      <c r="I7" s="52" t="n">
        <v>167.63</v>
      </c>
      <c r="J7" s="56" t="n">
        <v>133.4</v>
      </c>
      <c r="K7" s="57" t="n"/>
    </row>
    <row r="8" ht="20" customHeight="1">
      <c r="A8" s="58" t="inlineStr">
        <is>
          <t>Sep '25</t>
        </is>
      </c>
      <c r="B8" s="59" t="n">
        <v>33.54</v>
      </c>
      <c r="C8" s="59" t="n">
        <v>381.57</v>
      </c>
      <c r="D8" s="59" t="n">
        <v>63.03</v>
      </c>
      <c r="E8" s="59" t="n">
        <v>21.37</v>
      </c>
      <c r="F8" s="60" t="n">
        <v>499.51</v>
      </c>
      <c r="G8" s="61" t="n">
        <v>630</v>
      </c>
      <c r="H8" s="62" t="n">
        <v>130.49</v>
      </c>
      <c r="I8" s="59" t="n">
        <v>167.63</v>
      </c>
      <c r="J8" s="63" t="n">
        <v>130.49</v>
      </c>
      <c r="K8" s="2" t="n"/>
    </row>
    <row r="9" ht="20" customHeight="1">
      <c r="A9" s="51" t="inlineStr">
        <is>
          <t>Oct '25</t>
        </is>
      </c>
      <c r="B9" s="52" t="n">
        <v>35.97</v>
      </c>
      <c r="C9" s="52" t="n">
        <v>248.35</v>
      </c>
      <c r="D9" s="52" t="n">
        <v>63.03</v>
      </c>
      <c r="E9" s="52" t="n">
        <v>21.37</v>
      </c>
      <c r="F9" s="53" t="n">
        <v>368.72</v>
      </c>
      <c r="G9" s="54" t="n">
        <v>630</v>
      </c>
      <c r="H9" s="55" t="n">
        <v>261.28</v>
      </c>
      <c r="I9" s="52" t="n">
        <v>167.63</v>
      </c>
      <c r="J9" s="56" t="n">
        <v>261.28</v>
      </c>
      <c r="K9" s="57" t="n"/>
    </row>
    <row r="10" ht="20" customHeight="1">
      <c r="A10" s="58" t="inlineStr">
        <is>
          <t>Nov '25</t>
        </is>
      </c>
      <c r="B10" s="59" t="n">
        <v>35.97</v>
      </c>
      <c r="C10" s="59" t="n">
        <v>264.5</v>
      </c>
      <c r="D10" s="59" t="n">
        <v>63.03</v>
      </c>
      <c r="E10" s="59" t="n">
        <v>21.37</v>
      </c>
      <c r="F10" s="60" t="n">
        <v>384.87</v>
      </c>
      <c r="G10" s="61" t="n">
        <v>630</v>
      </c>
      <c r="H10" s="62" t="n">
        <v>245.13</v>
      </c>
      <c r="I10" s="59" t="n">
        <v>167.63</v>
      </c>
      <c r="J10" s="63" t="n">
        <v>245.13</v>
      </c>
      <c r="K10" s="2" t="n"/>
    </row>
    <row r="11" ht="20" customHeight="1">
      <c r="A11" s="51" t="inlineStr">
        <is>
          <t>Dec '25</t>
        </is>
      </c>
      <c r="B11" s="52" t="n">
        <v>44.13</v>
      </c>
      <c r="C11" s="52" t="n">
        <v>415.04</v>
      </c>
      <c r="D11" s="52" t="n">
        <v>63.03</v>
      </c>
      <c r="E11" s="52" t="n">
        <v>21.37</v>
      </c>
      <c r="F11" s="53" t="n">
        <v>543.5700000000001</v>
      </c>
      <c r="G11" s="54" t="n">
        <v>630</v>
      </c>
      <c r="H11" s="55" t="n">
        <v>86.43000000000001</v>
      </c>
      <c r="I11" s="52" t="n">
        <v>167.63</v>
      </c>
      <c r="J11" s="56" t="n">
        <v>86.43000000000001</v>
      </c>
      <c r="K11" s="57" t="n"/>
    </row>
    <row r="12" ht="20" customHeight="1">
      <c r="A12" s="58" t="inlineStr">
        <is>
          <t>Jan '26</t>
        </is>
      </c>
      <c r="B12" s="59" t="n">
        <v>40.52</v>
      </c>
      <c r="C12" s="59" t="n">
        <v>541.9</v>
      </c>
      <c r="D12" s="59" t="n">
        <v>24.95</v>
      </c>
      <c r="E12" s="59" t="n">
        <v>22.01</v>
      </c>
      <c r="F12" s="60" t="n">
        <v>629.38</v>
      </c>
      <c r="G12" s="61" t="n">
        <v>630</v>
      </c>
      <c r="H12" s="62" t="n">
        <v>0.62</v>
      </c>
      <c r="I12" s="59" t="n">
        <v>167.63</v>
      </c>
      <c r="J12" s="63" t="n">
        <v>0.62</v>
      </c>
      <c r="K12" s="2" t="n"/>
    </row>
    <row r="13" ht="20" customHeight="1">
      <c r="A13" s="51" t="inlineStr">
        <is>
          <t>Feb '26</t>
        </is>
      </c>
      <c r="B13" s="52" t="n">
        <v>31.02</v>
      </c>
      <c r="C13" s="52" t="n">
        <v>388.23</v>
      </c>
      <c r="D13" s="52" t="n">
        <v>24.95</v>
      </c>
      <c r="E13" s="52" t="n">
        <v>22.01</v>
      </c>
      <c r="F13" s="53" t="n">
        <v>466.21</v>
      </c>
      <c r="G13" s="54" t="n">
        <v>630</v>
      </c>
      <c r="H13" s="55" t="n">
        <v>163.79</v>
      </c>
      <c r="I13" s="52" t="n">
        <v>167.63</v>
      </c>
      <c r="J13" s="56" t="n">
        <v>163.79</v>
      </c>
      <c r="K13" s="57" t="n"/>
    </row>
    <row r="14" ht="20" customHeight="1">
      <c r="A14" s="58" t="inlineStr">
        <is>
          <t>Mar '26</t>
        </is>
      </c>
      <c r="B14" s="59" t="n">
        <v>39.61</v>
      </c>
      <c r="C14" s="59" t="n">
        <v>226.71</v>
      </c>
      <c r="D14" s="59" t="n">
        <v>24.95</v>
      </c>
      <c r="E14" s="59" t="n">
        <v>22.01</v>
      </c>
      <c r="F14" s="60" t="n">
        <v>313.28</v>
      </c>
      <c r="G14" s="61" t="n">
        <v>630</v>
      </c>
      <c r="H14" s="62" t="n">
        <v>316.72</v>
      </c>
      <c r="I14" s="59" t="n">
        <v>167.63</v>
      </c>
      <c r="J14" s="63" t="n">
        <v>316.72</v>
      </c>
      <c r="K14" s="2" t="n"/>
    </row>
    <row r="15" ht="20" customHeight="1">
      <c r="A15" s="51" t="inlineStr">
        <is>
          <t>Apr '26</t>
        </is>
      </c>
      <c r="B15" s="52" t="n">
        <v>86.5</v>
      </c>
      <c r="C15" s="52" t="n">
        <v>206.01</v>
      </c>
      <c r="D15" s="52" t="n">
        <v>24.95</v>
      </c>
      <c r="E15" s="52" t="n">
        <v>22.01</v>
      </c>
      <c r="F15" s="53" t="n">
        <v>339.47</v>
      </c>
      <c r="G15" s="54" t="n">
        <v>630</v>
      </c>
      <c r="H15" s="55" t="n">
        <v>290.53</v>
      </c>
      <c r="I15" s="52" t="n">
        <v>167.63</v>
      </c>
      <c r="J15" s="56" t="n">
        <v>290.53</v>
      </c>
      <c r="K15" s="57" t="n"/>
    </row>
    <row r="16" ht="20" customHeight="1">
      <c r="A16" s="58" t="inlineStr">
        <is>
          <t>May '26</t>
        </is>
      </c>
      <c r="B16" s="59" t="n"/>
      <c r="C16" s="59" t="n"/>
      <c r="D16" s="59" t="n"/>
      <c r="E16" s="59" t="n"/>
      <c r="F16" s="60">
        <f>IF(COUNTA(B16:E16)=0,"",SUM(B16:E16))</f>
        <v/>
      </c>
      <c r="G16" s="61" t="n">
        <v>630</v>
      </c>
      <c r="H16" s="62">
        <f>IF(F16="","",G16-F16)</f>
        <v/>
      </c>
      <c r="I16" s="59" t="n">
        <v>167.63</v>
      </c>
      <c r="J16" s="63" t="n"/>
      <c r="K16" s="2" t="n"/>
    </row>
    <row r="17" ht="20" customHeight="1">
      <c r="A17" s="51" t="inlineStr">
        <is>
          <t>Jun '26</t>
        </is>
      </c>
      <c r="B17" s="52" t="n">
        <v>166.96</v>
      </c>
      <c r="C17" s="52" t="n">
        <v>220.59</v>
      </c>
      <c r="D17" s="52" t="n">
        <v>24.95</v>
      </c>
      <c r="E17" s="52" t="n">
        <v>22.01</v>
      </c>
      <c r="F17" s="53" t="n">
        <v>434.51</v>
      </c>
      <c r="G17" s="54" t="n">
        <v>630</v>
      </c>
      <c r="H17" s="55" t="n">
        <v>195.49</v>
      </c>
      <c r="I17" s="52" t="n">
        <v>167.63</v>
      </c>
      <c r="J17" s="56" t="n">
        <v>195.49</v>
      </c>
      <c r="K17" s="57" t="n"/>
    </row>
    <row r="18" ht="20" customHeight="1">
      <c r="A18" s="58" t="inlineStr">
        <is>
          <t>Jul '26</t>
        </is>
      </c>
      <c r="B18" s="59" t="n"/>
      <c r="C18" s="59" t="n"/>
      <c r="D18" s="59" t="n"/>
      <c r="E18" s="59" t="n"/>
      <c r="F18" s="60">
        <f>IF(COUNTA(B18:E18)=0,"",SUM(B18:E18))</f>
        <v/>
      </c>
      <c r="G18" s="61" t="n">
        <v>630</v>
      </c>
      <c r="H18" s="62">
        <f>IF(F18="","",G18-F18)</f>
        <v/>
      </c>
      <c r="I18" s="59">
        <f>IF(H18="","",MAX(0,MIN(167.63,I17+H18)))</f>
        <v/>
      </c>
      <c r="J18" s="63">
        <f>IF(H18="","",MAX(0,H18-MAX(0,167.63-I17)))</f>
        <v/>
      </c>
      <c r="K18" s="2" t="n"/>
    </row>
    <row r="19" ht="20" customHeight="1">
      <c r="A19" s="51" t="inlineStr">
        <is>
          <t>Aug '26</t>
        </is>
      </c>
      <c r="B19" s="52" t="n"/>
      <c r="C19" s="52" t="n"/>
      <c r="D19" s="52" t="n"/>
      <c r="E19" s="52" t="n"/>
      <c r="F19" s="53">
        <f>IF(COUNTA(B19:E19)=0,"",SUM(B19:E19))</f>
        <v/>
      </c>
      <c r="G19" s="54" t="n">
        <v>630</v>
      </c>
      <c r="H19" s="55">
        <f>IF(F19="","",G19-F19)</f>
        <v/>
      </c>
      <c r="I19" s="52">
        <f>IF(H19="","",MAX(0,MIN(167.63,I18+H19)))</f>
        <v/>
      </c>
      <c r="J19" s="56">
        <f>IF(H19="","",MAX(0,H19-MAX(0,167.63-I18)))</f>
        <v/>
      </c>
      <c r="K19" s="57" t="n"/>
    </row>
    <row r="20" ht="20" customHeight="1">
      <c r="A20" s="58" t="inlineStr">
        <is>
          <t>Sep '26</t>
        </is>
      </c>
      <c r="B20" s="59" t="n"/>
      <c r="C20" s="59" t="n"/>
      <c r="D20" s="59" t="n"/>
      <c r="E20" s="59" t="n"/>
      <c r="F20" s="60">
        <f>IF(COUNTA(B20:E20)=0,"",SUM(B20:E20))</f>
        <v/>
      </c>
      <c r="G20" s="61" t="n">
        <v>630</v>
      </c>
      <c r="H20" s="62">
        <f>IF(F20="","",G20-F20)</f>
        <v/>
      </c>
      <c r="I20" s="59">
        <f>IF(H20="","",MAX(0,MIN(167.63,I19+H20)))</f>
        <v/>
      </c>
      <c r="J20" s="63">
        <f>IF(H20="","",MAX(0,H20-MAX(0,167.63-I19)))</f>
        <v/>
      </c>
      <c r="K20" s="2" t="n"/>
    </row>
    <row r="21" ht="20" customHeight="1">
      <c r="A21" s="51" t="inlineStr">
        <is>
          <t>Oct '26</t>
        </is>
      </c>
      <c r="B21" s="52" t="n"/>
      <c r="C21" s="52" t="n"/>
      <c r="D21" s="52" t="n"/>
      <c r="E21" s="52" t="n"/>
      <c r="F21" s="53">
        <f>IF(COUNTA(B21:E21)=0,"",SUM(B21:E21))</f>
        <v/>
      </c>
      <c r="G21" s="54" t="n">
        <v>630</v>
      </c>
      <c r="H21" s="55">
        <f>IF(F21="","",G21-F21)</f>
        <v/>
      </c>
      <c r="I21" s="52">
        <f>IF(H21="","",MAX(0,MIN(167.63,I20+H21)))</f>
        <v/>
      </c>
      <c r="J21" s="56">
        <f>IF(H21="","",MAX(0,H21-MAX(0,167.63-I20)))</f>
        <v/>
      </c>
      <c r="K21" s="57" t="n"/>
    </row>
    <row r="22" ht="20" customHeight="1">
      <c r="A22" s="58" t="inlineStr">
        <is>
          <t>Nov '26</t>
        </is>
      </c>
      <c r="B22" s="59" t="n"/>
      <c r="C22" s="59" t="n"/>
      <c r="D22" s="59" t="n"/>
      <c r="E22" s="59" t="n"/>
      <c r="F22" s="60">
        <f>IF(COUNTA(B22:E22)=0,"",SUM(B22:E22))</f>
        <v/>
      </c>
      <c r="G22" s="61" t="n">
        <v>630</v>
      </c>
      <c r="H22" s="62">
        <f>IF(F22="","",G22-F22)</f>
        <v/>
      </c>
      <c r="I22" s="59">
        <f>IF(H22="","",MAX(0,MIN(167.63,I21+H22)))</f>
        <v/>
      </c>
      <c r="J22" s="63">
        <f>IF(H22="","",MAX(0,H22-MAX(0,167.63-I21)))</f>
        <v/>
      </c>
      <c r="K22" s="2" t="n"/>
    </row>
    <row r="23" ht="20" customHeight="1">
      <c r="A23" s="51" t="inlineStr">
        <is>
          <t>Dec '26</t>
        </is>
      </c>
      <c r="B23" s="52" t="n"/>
      <c r="C23" s="52" t="n"/>
      <c r="D23" s="52" t="n"/>
      <c r="E23" s="52" t="n"/>
      <c r="F23" s="53">
        <f>IF(COUNTA(B23:E23)=0,"",SUM(B23:E23))</f>
        <v/>
      </c>
      <c r="G23" s="54" t="n">
        <v>630</v>
      </c>
      <c r="H23" s="55">
        <f>IF(F23="","",G23-F23)</f>
        <v/>
      </c>
      <c r="I23" s="52">
        <f>IF(H23="","",MAX(0,MIN(167.63,I22+H23)))</f>
        <v/>
      </c>
      <c r="J23" s="56">
        <f>IF(H23="","",MAX(0,H23-MAX(0,167.63-I22)))</f>
        <v/>
      </c>
      <c r="K23" s="57" t="n"/>
    </row>
    <row r="24" ht="20" customHeight="1">
      <c r="A24" s="58" t="inlineStr">
        <is>
          <t>Jan '27</t>
        </is>
      </c>
      <c r="B24" s="59" t="n"/>
      <c r="C24" s="59" t="n"/>
      <c r="D24" s="59" t="n"/>
      <c r="E24" s="59" t="n"/>
      <c r="F24" s="60">
        <f>IF(COUNTA(B24:E24)=0,"",SUM(B24:E24))</f>
        <v/>
      </c>
      <c r="G24" s="61" t="n">
        <v>630</v>
      </c>
      <c r="H24" s="62">
        <f>IF(F24="","",G24-F24)</f>
        <v/>
      </c>
      <c r="I24" s="59">
        <f>IF(H24="","",MAX(0,MIN(167.63,I23+H24)))</f>
        <v/>
      </c>
      <c r="J24" s="63">
        <f>IF(H24="","",MAX(0,H24-MAX(0,167.63-I23)))</f>
        <v/>
      </c>
      <c r="K24" s="2" t="n"/>
    </row>
    <row r="25" ht="20" customHeight="1">
      <c r="A25" s="51" t="inlineStr">
        <is>
          <t>Feb '27</t>
        </is>
      </c>
      <c r="B25" s="52" t="n"/>
      <c r="C25" s="52" t="n"/>
      <c r="D25" s="52" t="n"/>
      <c r="E25" s="52" t="n"/>
      <c r="F25" s="53">
        <f>IF(COUNTA(B25:E25)=0,"",SUM(B25:E25))</f>
        <v/>
      </c>
      <c r="G25" s="54" t="n">
        <v>630</v>
      </c>
      <c r="H25" s="55">
        <f>IF(F25="","",G25-F25)</f>
        <v/>
      </c>
      <c r="I25" s="52">
        <f>IF(H25="","",MAX(0,MIN(167.63,I24+H25)))</f>
        <v/>
      </c>
      <c r="J25" s="56">
        <f>IF(H25="","",MAX(0,H25-MAX(0,167.63-I24)))</f>
        <v/>
      </c>
      <c r="K25" s="57" t="n"/>
    </row>
    <row r="26" ht="20" customHeight="1">
      <c r="A26" s="58" t="inlineStr">
        <is>
          <t>Mar '27</t>
        </is>
      </c>
      <c r="B26" s="59" t="n"/>
      <c r="C26" s="59" t="n"/>
      <c r="D26" s="59" t="n"/>
      <c r="E26" s="59" t="n"/>
      <c r="F26" s="60">
        <f>IF(COUNTA(B26:E26)=0,"",SUM(B26:E26))</f>
        <v/>
      </c>
      <c r="G26" s="61" t="n">
        <v>630</v>
      </c>
      <c r="H26" s="62">
        <f>IF(F26="","",G26-F26)</f>
        <v/>
      </c>
      <c r="I26" s="59">
        <f>IF(H26="","",MAX(0,MIN(167.63,I25+H26)))</f>
        <v/>
      </c>
      <c r="J26" s="63">
        <f>IF(H26="","",MAX(0,H26-MAX(0,167.63-I25)))</f>
        <v/>
      </c>
      <c r="K26" s="2" t="n"/>
    </row>
    <row r="27" ht="20" customHeight="1">
      <c r="A27" s="51" t="inlineStr">
        <is>
          <t>Apr '27</t>
        </is>
      </c>
      <c r="B27" s="52" t="n"/>
      <c r="C27" s="52" t="n"/>
      <c r="D27" s="52" t="n"/>
      <c r="E27" s="52" t="n"/>
      <c r="F27" s="53">
        <f>IF(COUNTA(B27:E27)=0,"",SUM(B27:E27))</f>
        <v/>
      </c>
      <c r="G27" s="54" t="n">
        <v>630</v>
      </c>
      <c r="H27" s="55">
        <f>IF(F27="","",G27-F27)</f>
        <v/>
      </c>
      <c r="I27" s="52">
        <f>IF(H27="","",MAX(0,MIN(167.63,I26+H27)))</f>
        <v/>
      </c>
      <c r="J27" s="56">
        <f>IF(H27="","",MAX(0,H27-MAX(0,167.63-I26)))</f>
        <v/>
      </c>
      <c r="K27" s="57" t="n"/>
    </row>
    <row r="28" ht="20" customHeight="1">
      <c r="A28" s="58" t="inlineStr">
        <is>
          <t>May '27</t>
        </is>
      </c>
      <c r="B28" s="59" t="n"/>
      <c r="C28" s="59" t="n"/>
      <c r="D28" s="59" t="n"/>
      <c r="E28" s="59" t="n"/>
      <c r="F28" s="60">
        <f>IF(COUNTA(B28:E28)=0,"",SUM(B28:E28))</f>
        <v/>
      </c>
      <c r="G28" s="61" t="n">
        <v>630</v>
      </c>
      <c r="H28" s="62">
        <f>IF(F28="","",G28-F28)</f>
        <v/>
      </c>
      <c r="I28" s="59">
        <f>IF(H28="","",MAX(0,MIN(167.63,I27+H28)))</f>
        <v/>
      </c>
      <c r="J28" s="63">
        <f>IF(H28="","",MAX(0,H28-MAX(0,167.63-I27)))</f>
        <v/>
      </c>
      <c r="K28" s="2" t="n"/>
    </row>
    <row r="29" ht="20" customHeight="1">
      <c r="A29" s="51" t="inlineStr">
        <is>
          <t>Jun '27</t>
        </is>
      </c>
      <c r="B29" s="52" t="n"/>
      <c r="C29" s="52" t="n"/>
      <c r="D29" s="52" t="n"/>
      <c r="E29" s="52" t="n"/>
      <c r="F29" s="53">
        <f>IF(COUNTA(B29:E29)=0,"",SUM(B29:E29))</f>
        <v/>
      </c>
      <c r="G29" s="54" t="n">
        <v>630</v>
      </c>
      <c r="H29" s="55">
        <f>IF(F29="","",G29-F29)</f>
        <v/>
      </c>
      <c r="I29" s="52">
        <f>IF(H29="","",MAX(0,MIN(167.63,I28+H29)))</f>
        <v/>
      </c>
      <c r="J29" s="56">
        <f>IF(H29="","",MAX(0,H29-MAX(0,167.63-I28)))</f>
        <v/>
      </c>
      <c r="K29" s="57" t="n"/>
    </row>
    <row r="30" ht="20" customHeight="1">
      <c r="A30" s="58" t="inlineStr">
        <is>
          <t>Jul '27</t>
        </is>
      </c>
      <c r="B30" s="59" t="n"/>
      <c r="C30" s="59" t="n"/>
      <c r="D30" s="59" t="n"/>
      <c r="E30" s="59" t="n"/>
      <c r="F30" s="60">
        <f>IF(COUNTA(B30:E30)=0,"",SUM(B30:E30))</f>
        <v/>
      </c>
      <c r="G30" s="61" t="n">
        <v>630</v>
      </c>
      <c r="H30" s="62">
        <f>IF(F30="","",G30-F30)</f>
        <v/>
      </c>
      <c r="I30" s="59">
        <f>IF(H30="","",MAX(0,MIN(167.63,I29+H30)))</f>
        <v/>
      </c>
      <c r="J30" s="63">
        <f>IF(H30="","",MAX(0,H30-MAX(0,167.63-I29)))</f>
        <v/>
      </c>
      <c r="K30" s="2" t="n"/>
    </row>
    <row r="31" ht="20" customHeight="1">
      <c r="A31" s="51" t="inlineStr">
        <is>
          <t>Aug '27</t>
        </is>
      </c>
      <c r="B31" s="52" t="n"/>
      <c r="C31" s="52" t="n"/>
      <c r="D31" s="52" t="n"/>
      <c r="E31" s="52" t="n"/>
      <c r="F31" s="53">
        <f>IF(COUNTA(B31:E31)=0,"",SUM(B31:E31))</f>
        <v/>
      </c>
      <c r="G31" s="54" t="n">
        <v>630</v>
      </c>
      <c r="H31" s="55">
        <f>IF(F31="","",G31-F31)</f>
        <v/>
      </c>
      <c r="I31" s="52">
        <f>IF(H31="","",MAX(0,MIN(167.63,I30+H31)))</f>
        <v/>
      </c>
      <c r="J31" s="56">
        <f>IF(H31="","",MAX(0,H31-MAX(0,167.63-I30)))</f>
        <v/>
      </c>
      <c r="K31" s="57" t="n"/>
    </row>
    <row r="32" ht="20" customHeight="1">
      <c r="A32" s="58" t="inlineStr">
        <is>
          <t>Sep '27</t>
        </is>
      </c>
      <c r="B32" s="59" t="n"/>
      <c r="C32" s="59" t="n"/>
      <c r="D32" s="59" t="n"/>
      <c r="E32" s="59" t="n"/>
      <c r="F32" s="60">
        <f>IF(COUNTA(B32:E32)=0,"",SUM(B32:E32))</f>
        <v/>
      </c>
      <c r="G32" s="61" t="n">
        <v>630</v>
      </c>
      <c r="H32" s="62">
        <f>IF(F32="","",G32-F32)</f>
        <v/>
      </c>
      <c r="I32" s="59">
        <f>IF(H32="","",MAX(0,MIN(167.63,I31+H32)))</f>
        <v/>
      </c>
      <c r="J32" s="63">
        <f>IF(H32="","",MAX(0,H32-MAX(0,167.63-I31)))</f>
        <v/>
      </c>
      <c r="K32" s="2" t="n"/>
    </row>
    <row r="33" ht="20" customHeight="1">
      <c r="A33" s="51" t="inlineStr">
        <is>
          <t>Oct '27</t>
        </is>
      </c>
      <c r="B33" s="52" t="n"/>
      <c r="C33" s="52" t="n"/>
      <c r="D33" s="52" t="n"/>
      <c r="E33" s="52" t="n"/>
      <c r="F33" s="53">
        <f>IF(COUNTA(B33:E33)=0,"",SUM(B33:E33))</f>
        <v/>
      </c>
      <c r="G33" s="54" t="n">
        <v>630</v>
      </c>
      <c r="H33" s="55">
        <f>IF(F33="","",G33-F33)</f>
        <v/>
      </c>
      <c r="I33" s="52">
        <f>IF(H33="","",MAX(0,MIN(167.63,I32+H33)))</f>
        <v/>
      </c>
      <c r="J33" s="56">
        <f>IF(H33="","",MAX(0,H33-MAX(0,167.63-I32)))</f>
        <v/>
      </c>
      <c r="K33" s="57" t="n"/>
    </row>
    <row r="34" ht="20" customHeight="1">
      <c r="A34" s="58" t="inlineStr">
        <is>
          <t>Nov '27</t>
        </is>
      </c>
      <c r="B34" s="59" t="n"/>
      <c r="C34" s="59" t="n"/>
      <c r="D34" s="59" t="n"/>
      <c r="E34" s="59" t="n"/>
      <c r="F34" s="60">
        <f>IF(COUNTA(B34:E34)=0,"",SUM(B34:E34))</f>
        <v/>
      </c>
      <c r="G34" s="61" t="n">
        <v>630</v>
      </c>
      <c r="H34" s="62">
        <f>IF(F34="","",G34-F34)</f>
        <v/>
      </c>
      <c r="I34" s="59">
        <f>IF(H34="","",MAX(0,MIN(167.63,I33+H34)))</f>
        <v/>
      </c>
      <c r="J34" s="63">
        <f>IF(H34="","",MAX(0,H34-MAX(0,167.63-I33)))</f>
        <v/>
      </c>
      <c r="K34" s="2" t="n"/>
    </row>
    <row r="35" ht="20" customHeight="1">
      <c r="A35" s="51" t="inlineStr">
        <is>
          <t>Dec '27</t>
        </is>
      </c>
      <c r="B35" s="52" t="n"/>
      <c r="C35" s="52" t="n"/>
      <c r="D35" s="52" t="n"/>
      <c r="E35" s="52" t="n"/>
      <c r="F35" s="53">
        <f>IF(COUNTA(B35:E35)=0,"",SUM(B35:E35))</f>
        <v/>
      </c>
      <c r="G35" s="54" t="n">
        <v>630</v>
      </c>
      <c r="H35" s="55">
        <f>IF(F35="","",G35-F35)</f>
        <v/>
      </c>
      <c r="I35" s="52">
        <f>IF(H35="","",MAX(0,MIN(167.63,I34+H35)))</f>
        <v/>
      </c>
      <c r="J35" s="56">
        <f>IF(H35="","",MAX(0,H35-MAX(0,167.63-I34)))</f>
        <v/>
      </c>
      <c r="K35" s="57" t="n"/>
    </row>
    <row r="37" ht="24" customHeight="1">
      <c r="A37" s="64" t="inlineStr">
        <is>
          <t>TOTALS</t>
        </is>
      </c>
      <c r="B37" s="65" t="n">
        <v>589.39</v>
      </c>
      <c r="C37" s="65" t="n">
        <v>4130.96</v>
      </c>
      <c r="D37" s="65" t="n">
        <v>505.8</v>
      </c>
      <c r="E37" s="65" t="n">
        <v>241.67</v>
      </c>
      <c r="F37" s="65" t="n">
        <v>5467.82</v>
      </c>
      <c r="G37" s="65" t="n">
        <v>7560</v>
      </c>
      <c r="H37" s="65" t="n">
        <v>2092.18</v>
      </c>
      <c r="J37" s="65" t="n">
        <v>2092.18</v>
      </c>
    </row>
    <row r="38" ht="20" customHeight="1">
      <c r="A38" s="58" t="inlineStr">
        <is>
          <t>AVERAGES</t>
        </is>
      </c>
      <c r="B38" s="59" t="n">
        <v>49.12</v>
      </c>
      <c r="C38" s="59" t="n">
        <v>344.25</v>
      </c>
      <c r="D38" s="59" t="n">
        <v>42.15</v>
      </c>
      <c r="E38" s="59" t="n">
        <v>20.14</v>
      </c>
      <c r="F38" s="59" t="n">
        <v>455.65</v>
      </c>
      <c r="G38" s="59" t="n">
        <v>630</v>
      </c>
      <c r="H38" s="59" t="n">
        <v>174.35</v>
      </c>
      <c r="J38" s="59" t="n">
        <v>174.35</v>
      </c>
    </row>
  </sheetData>
  <mergeCells count="2">
    <mergeCell ref="A2:K2"/>
    <mergeCell ref="A1:K1"/>
  </mergeCells>
  <conditionalFormatting sqref="H5:H1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5:J17">
    <cfRule type="cellIs" priority="3" operator="greaterThan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4" customWidth="1" min="5" max="5"/>
    <col width="22" customWidth="1" min="6" max="6"/>
  </cols>
  <sheetData>
    <row r="1" ht="32" customHeight="1">
      <c r="A1" s="66" t="inlineStr">
        <is>
          <t>PER UTILITY — Actuals vs Targets</t>
        </is>
      </c>
    </row>
    <row r="3" ht="26" customHeight="1">
      <c r="A3" s="67" t="inlineStr">
        <is>
          <t>WATER  ·  fund $90/mo  ·  avg $49  ·  cushion $41/mo</t>
        </is>
      </c>
    </row>
    <row r="4" ht="20" customHeight="1">
      <c r="A4" s="58" t="inlineStr">
        <is>
          <t>Month</t>
        </is>
      </c>
      <c r="B4" s="58" t="inlineStr">
        <is>
          <t>Actual</t>
        </is>
      </c>
      <c r="C4" s="58" t="inlineStr">
        <is>
          <t>Target</t>
        </is>
      </c>
      <c r="D4" s="58" t="inlineStr">
        <is>
          <t>Net</t>
        </is>
      </c>
      <c r="E4" s="58" t="inlineStr">
        <is>
          <t>Notes</t>
        </is>
      </c>
    </row>
    <row r="5" ht="18" customHeight="1">
      <c r="A5" s="68" t="inlineStr">
        <is>
          <t>Jun '25</t>
        </is>
      </c>
      <c r="B5" s="52" t="n">
        <v>22.5</v>
      </c>
      <c r="C5" s="69" t="n">
        <v>90</v>
      </c>
      <c r="D5" s="70">
        <f>IFERROR(C5-B5,"")</f>
        <v/>
      </c>
      <c r="E5" s="57" t="n"/>
    </row>
    <row r="6" ht="18" customHeight="1">
      <c r="A6" s="71" t="inlineStr">
        <is>
          <t>Jul '25</t>
        </is>
      </c>
      <c r="B6" s="59" t="n">
        <v>28.32</v>
      </c>
      <c r="C6" s="72" t="n">
        <v>90</v>
      </c>
      <c r="D6" s="73">
        <f>IFERROR(C6-B6,"")</f>
        <v/>
      </c>
      <c r="E6" s="2" t="n"/>
    </row>
    <row r="7" ht="18" customHeight="1">
      <c r="A7" s="68" t="inlineStr">
        <is>
          <t>Aug '25</t>
        </is>
      </c>
      <c r="B7" s="52" t="n">
        <v>24.35</v>
      </c>
      <c r="C7" s="69" t="n">
        <v>90</v>
      </c>
      <c r="D7" s="70">
        <f>IFERROR(C7-B7,"")</f>
        <v/>
      </c>
      <c r="E7" s="57" t="n"/>
    </row>
    <row r="8" ht="18" customHeight="1">
      <c r="A8" s="71" t="inlineStr">
        <is>
          <t>Sep '25</t>
        </is>
      </c>
      <c r="B8" s="59" t="n">
        <v>33.54</v>
      </c>
      <c r="C8" s="72" t="n">
        <v>90</v>
      </c>
      <c r="D8" s="73">
        <f>IFERROR(C8-B8,"")</f>
        <v/>
      </c>
      <c r="E8" s="2" t="n"/>
    </row>
    <row r="9" ht="18" customHeight="1">
      <c r="A9" s="68" t="inlineStr">
        <is>
          <t>Oct '25</t>
        </is>
      </c>
      <c r="B9" s="52" t="n">
        <v>35.97</v>
      </c>
      <c r="C9" s="69" t="n">
        <v>90</v>
      </c>
      <c r="D9" s="70">
        <f>IFERROR(C9-B9,"")</f>
        <v/>
      </c>
      <c r="E9" s="57" t="n"/>
    </row>
    <row r="10" ht="18" customHeight="1">
      <c r="A10" s="71" t="inlineStr">
        <is>
          <t>Nov '25</t>
        </is>
      </c>
      <c r="B10" s="59" t="n">
        <v>35.97</v>
      </c>
      <c r="C10" s="72" t="n">
        <v>90</v>
      </c>
      <c r="D10" s="73">
        <f>IFERROR(C10-B10,"")</f>
        <v/>
      </c>
      <c r="E10" s="2" t="n"/>
    </row>
    <row r="11" ht="18" customHeight="1">
      <c r="A11" s="68" t="inlineStr">
        <is>
          <t>Dec '25</t>
        </is>
      </c>
      <c r="B11" s="52" t="n">
        <v>44.13</v>
      </c>
      <c r="C11" s="69" t="n">
        <v>90</v>
      </c>
      <c r="D11" s="70">
        <f>IFERROR(C11-B11,"")</f>
        <v/>
      </c>
      <c r="E11" s="57" t="n"/>
    </row>
    <row r="12" ht="18" customHeight="1">
      <c r="A12" s="71" t="inlineStr">
        <is>
          <t>Jan '26</t>
        </is>
      </c>
      <c r="B12" s="59" t="n">
        <v>40.52</v>
      </c>
      <c r="C12" s="72" t="n">
        <v>90</v>
      </c>
      <c r="D12" s="73">
        <f>IFERROR(C12-B12,"")</f>
        <v/>
      </c>
      <c r="E12" s="2" t="n"/>
    </row>
    <row r="13" ht="18" customHeight="1">
      <c r="A13" s="68" t="inlineStr">
        <is>
          <t>Feb '26</t>
        </is>
      </c>
      <c r="B13" s="52" t="n">
        <v>31.02</v>
      </c>
      <c r="C13" s="69" t="n">
        <v>90</v>
      </c>
      <c r="D13" s="70">
        <f>IFERROR(C13-B13,"")</f>
        <v/>
      </c>
      <c r="E13" s="57" t="n"/>
    </row>
    <row r="14" ht="18" customHeight="1">
      <c r="A14" s="71" t="inlineStr">
        <is>
          <t>Mar '26</t>
        </is>
      </c>
      <c r="B14" s="59" t="n">
        <v>39.61</v>
      </c>
      <c r="C14" s="72" t="n">
        <v>90</v>
      </c>
      <c r="D14" s="73">
        <f>IFERROR(C14-B14,"")</f>
        <v/>
      </c>
      <c r="E14" s="2" t="n"/>
    </row>
    <row r="15" ht="18" customHeight="1">
      <c r="A15" s="68" t="inlineStr">
        <is>
          <t>Apr '26</t>
        </is>
      </c>
      <c r="B15" s="52" t="n">
        <v>86.5</v>
      </c>
      <c r="C15" s="69" t="n">
        <v>90</v>
      </c>
      <c r="D15" s="70">
        <f>IFERROR(C15-B15,"")</f>
        <v/>
      </c>
      <c r="E15" s="57" t="n"/>
    </row>
    <row r="16" ht="18" customHeight="1">
      <c r="A16" s="71" t="inlineStr">
        <is>
          <t>Jun '26</t>
        </is>
      </c>
      <c r="B16" s="59" t="n">
        <v>166.96</v>
      </c>
      <c r="C16" s="72" t="n">
        <v>90</v>
      </c>
      <c r="D16" s="73">
        <f>IFERROR(C16-B16,"")</f>
        <v/>
      </c>
      <c r="E16" s="2" t="n"/>
    </row>
    <row r="17" ht="22" customHeight="1">
      <c r="A17" s="74" t="inlineStr">
        <is>
          <t>TOTALS</t>
        </is>
      </c>
      <c r="B17" s="75">
        <f>SUM(B5:B16)</f>
        <v/>
      </c>
      <c r="C17" s="75" t="n">
        <v>1080</v>
      </c>
      <c r="D17" s="76">
        <f>C17-B17</f>
        <v/>
      </c>
    </row>
    <row r="20" ht="26" customHeight="1">
      <c r="A20" s="77" t="inlineStr">
        <is>
          <t>POWER  ·  fund $453/mo  ·  avg $344  ·  cushion $109/mo</t>
        </is>
      </c>
    </row>
    <row r="21" ht="20" customHeight="1">
      <c r="A21" s="58" t="inlineStr">
        <is>
          <t>Month</t>
        </is>
      </c>
      <c r="B21" s="58" t="inlineStr">
        <is>
          <t>Actual</t>
        </is>
      </c>
      <c r="C21" s="58" t="inlineStr">
        <is>
          <t>Target</t>
        </is>
      </c>
      <c r="D21" s="58" t="inlineStr">
        <is>
          <t>Net</t>
        </is>
      </c>
      <c r="E21" s="58" t="inlineStr">
        <is>
          <t>Notes</t>
        </is>
      </c>
    </row>
    <row r="22" ht="18" customHeight="1">
      <c r="A22" s="68" t="inlineStr">
        <is>
          <t>Jun '25</t>
        </is>
      </c>
      <c r="B22" s="52" t="n">
        <v>368.62</v>
      </c>
      <c r="C22" s="69" t="n">
        <v>453</v>
      </c>
      <c r="D22" s="70">
        <f>IFERROR(C22-B22,"")</f>
        <v/>
      </c>
      <c r="E22" s="57" t="n"/>
    </row>
    <row r="23" ht="18" customHeight="1">
      <c r="A23" s="71" t="inlineStr">
        <is>
          <t>Jul '25</t>
        </is>
      </c>
      <c r="B23" s="59" t="n">
        <v>440.17</v>
      </c>
      <c r="C23" s="72" t="n">
        <v>453</v>
      </c>
      <c r="D23" s="73">
        <f>IFERROR(C23-B23,"")</f>
        <v/>
      </c>
      <c r="E23" s="2" t="n"/>
    </row>
    <row r="24" ht="18" customHeight="1">
      <c r="A24" s="68" t="inlineStr">
        <is>
          <t>Aug '25</t>
        </is>
      </c>
      <c r="B24" s="52" t="n">
        <v>429.27</v>
      </c>
      <c r="C24" s="69" t="n">
        <v>453</v>
      </c>
      <c r="D24" s="70">
        <f>IFERROR(C24-B24,"")</f>
        <v/>
      </c>
      <c r="E24" s="57" t="n"/>
    </row>
    <row r="25" ht="18" customHeight="1">
      <c r="A25" s="71" t="inlineStr">
        <is>
          <t>Sep '25</t>
        </is>
      </c>
      <c r="B25" s="59" t="n">
        <v>381.57</v>
      </c>
      <c r="C25" s="72" t="n">
        <v>453</v>
      </c>
      <c r="D25" s="73">
        <f>IFERROR(C25-B25,"")</f>
        <v/>
      </c>
      <c r="E25" s="2" t="n"/>
    </row>
    <row r="26" ht="18" customHeight="1">
      <c r="A26" s="68" t="inlineStr">
        <is>
          <t>Oct '25</t>
        </is>
      </c>
      <c r="B26" s="52" t="n">
        <v>248.35</v>
      </c>
      <c r="C26" s="69" t="n">
        <v>453</v>
      </c>
      <c r="D26" s="70">
        <f>IFERROR(C26-B26,"")</f>
        <v/>
      </c>
      <c r="E26" s="57" t="n"/>
    </row>
    <row r="27" ht="18" customHeight="1">
      <c r="A27" s="71" t="inlineStr">
        <is>
          <t>Nov '25</t>
        </is>
      </c>
      <c r="B27" s="59" t="n">
        <v>264.5</v>
      </c>
      <c r="C27" s="72" t="n">
        <v>453</v>
      </c>
      <c r="D27" s="73">
        <f>IFERROR(C27-B27,"")</f>
        <v/>
      </c>
      <c r="E27" s="2" t="n"/>
    </row>
    <row r="28" ht="18" customHeight="1">
      <c r="A28" s="68" t="inlineStr">
        <is>
          <t>Dec '25</t>
        </is>
      </c>
      <c r="B28" s="52" t="n">
        <v>415.04</v>
      </c>
      <c r="C28" s="69" t="n">
        <v>453</v>
      </c>
      <c r="D28" s="70">
        <f>IFERROR(C28-B28,"")</f>
        <v/>
      </c>
      <c r="E28" s="57" t="n"/>
    </row>
    <row r="29" ht="18" customHeight="1">
      <c r="A29" s="71" t="inlineStr">
        <is>
          <t>Jan '26</t>
        </is>
      </c>
      <c r="B29" s="59" t="n">
        <v>541.9</v>
      </c>
      <c r="C29" s="72" t="n">
        <v>453</v>
      </c>
      <c r="D29" s="73">
        <f>IFERROR(C29-B29,"")</f>
        <v/>
      </c>
      <c r="E29" s="2" t="n"/>
    </row>
    <row r="30" ht="18" customHeight="1">
      <c r="A30" s="68" t="inlineStr">
        <is>
          <t>Feb '26</t>
        </is>
      </c>
      <c r="B30" s="52" t="n">
        <v>388.23</v>
      </c>
      <c r="C30" s="69" t="n">
        <v>453</v>
      </c>
      <c r="D30" s="70">
        <f>IFERROR(C30-B30,"")</f>
        <v/>
      </c>
      <c r="E30" s="57" t="n"/>
    </row>
    <row r="31" ht="18" customHeight="1">
      <c r="A31" s="71" t="inlineStr">
        <is>
          <t>Mar '26</t>
        </is>
      </c>
      <c r="B31" s="59" t="n">
        <v>226.71</v>
      </c>
      <c r="C31" s="72" t="n">
        <v>453</v>
      </c>
      <c r="D31" s="73">
        <f>IFERROR(C31-B31,"")</f>
        <v/>
      </c>
      <c r="E31" s="2" t="n"/>
    </row>
    <row r="32" ht="18" customHeight="1">
      <c r="A32" s="68" t="inlineStr">
        <is>
          <t>Apr '26</t>
        </is>
      </c>
      <c r="B32" s="52" t="n">
        <v>206.01</v>
      </c>
      <c r="C32" s="69" t="n">
        <v>453</v>
      </c>
      <c r="D32" s="70">
        <f>IFERROR(C32-B32,"")</f>
        <v/>
      </c>
      <c r="E32" s="57" t="n"/>
    </row>
    <row r="33" ht="18" customHeight="1">
      <c r="A33" s="71" t="inlineStr">
        <is>
          <t>Jun '26</t>
        </is>
      </c>
      <c r="B33" s="59" t="n">
        <v>220.59</v>
      </c>
      <c r="C33" s="72" t="n">
        <v>453</v>
      </c>
      <c r="D33" s="73">
        <f>IFERROR(C33-B33,"")</f>
        <v/>
      </c>
      <c r="E33" s="2" t="n"/>
    </row>
    <row r="34" ht="22" customHeight="1">
      <c r="A34" s="74" t="inlineStr">
        <is>
          <t>TOTALS</t>
        </is>
      </c>
      <c r="B34" s="75">
        <f>SUM(B22:B33)</f>
        <v/>
      </c>
      <c r="C34" s="75" t="n">
        <v>5436</v>
      </c>
      <c r="D34" s="76">
        <f>C34-B34</f>
        <v/>
      </c>
    </row>
    <row r="37" ht="26" customHeight="1">
      <c r="A37" s="78" t="inlineStr">
        <is>
          <t>INTERNET  ·  fund $64/mo  ·  avg $42  ·  cushion $22/mo</t>
        </is>
      </c>
    </row>
    <row r="38" ht="20" customHeight="1">
      <c r="A38" s="58" t="inlineStr">
        <is>
          <t>Month</t>
        </is>
      </c>
      <c r="B38" s="58" t="inlineStr">
        <is>
          <t>Actual</t>
        </is>
      </c>
      <c r="C38" s="58" t="inlineStr">
        <is>
          <t>Target</t>
        </is>
      </c>
      <c r="D38" s="58" t="inlineStr">
        <is>
          <t>Net</t>
        </is>
      </c>
      <c r="E38" s="58" t="inlineStr">
        <is>
          <t>Notes</t>
        </is>
      </c>
    </row>
    <row r="39" ht="18" customHeight="1">
      <c r="A39" s="68" t="inlineStr">
        <is>
          <t>Jun '25</t>
        </is>
      </c>
      <c r="B39" s="52" t="n">
        <v>42.97</v>
      </c>
      <c r="C39" s="69" t="n">
        <v>64</v>
      </c>
      <c r="D39" s="70">
        <f>IFERROR(C39-B39,"")</f>
        <v/>
      </c>
      <c r="E39" s="57" t="n"/>
    </row>
    <row r="40" ht="18" customHeight="1">
      <c r="A40" s="71" t="inlineStr">
        <is>
          <t>Jul '25</t>
        </is>
      </c>
      <c r="B40" s="59" t="n">
        <v>42.98</v>
      </c>
      <c r="C40" s="72" t="n">
        <v>64</v>
      </c>
      <c r="D40" s="73">
        <f>IFERROR(C40-B40,"")</f>
        <v/>
      </c>
      <c r="E40" s="2" t="n"/>
    </row>
    <row r="41" ht="18" customHeight="1">
      <c r="A41" s="68" t="inlineStr">
        <is>
          <t>Aug '25</t>
        </is>
      </c>
      <c r="B41" s="52" t="n">
        <v>42.98</v>
      </c>
      <c r="C41" s="69" t="n">
        <v>64</v>
      </c>
      <c r="D41" s="70">
        <f>IFERROR(C41-B41,"")</f>
        <v/>
      </c>
      <c r="E41" s="57" t="n"/>
    </row>
    <row r="42" ht="18" customHeight="1">
      <c r="A42" s="71" t="inlineStr">
        <is>
          <t>Sep '25</t>
        </is>
      </c>
      <c r="B42" s="59" t="n">
        <v>63.03</v>
      </c>
      <c r="C42" s="72" t="n">
        <v>64</v>
      </c>
      <c r="D42" s="73">
        <f>IFERROR(C42-B42,"")</f>
        <v/>
      </c>
      <c r="E42" s="2" t="n"/>
    </row>
    <row r="43" ht="18" customHeight="1">
      <c r="A43" s="68" t="inlineStr">
        <is>
          <t>Oct '25</t>
        </is>
      </c>
      <c r="B43" s="52" t="n">
        <v>63.03</v>
      </c>
      <c r="C43" s="69" t="n">
        <v>64</v>
      </c>
      <c r="D43" s="70">
        <f>IFERROR(C43-B43,"")</f>
        <v/>
      </c>
      <c r="E43" s="57" t="n"/>
    </row>
    <row r="44" ht="18" customHeight="1">
      <c r="A44" s="71" t="inlineStr">
        <is>
          <t>Nov '25</t>
        </is>
      </c>
      <c r="B44" s="59" t="n">
        <v>63.03</v>
      </c>
      <c r="C44" s="72" t="n">
        <v>64</v>
      </c>
      <c r="D44" s="73">
        <f>IFERROR(C44-B44,"")</f>
        <v/>
      </c>
      <c r="E44" s="2" t="n"/>
    </row>
    <row r="45" ht="18" customHeight="1">
      <c r="A45" s="68" t="inlineStr">
        <is>
          <t>Dec '25</t>
        </is>
      </c>
      <c r="B45" s="52" t="n">
        <v>63.03</v>
      </c>
      <c r="C45" s="69" t="n">
        <v>64</v>
      </c>
      <c r="D45" s="70">
        <f>IFERROR(C45-B45,"")</f>
        <v/>
      </c>
      <c r="E45" s="57" t="n"/>
    </row>
    <row r="46" ht="18" customHeight="1">
      <c r="A46" s="71" t="inlineStr">
        <is>
          <t>Jan '26</t>
        </is>
      </c>
      <c r="B46" s="59" t="n">
        <v>24.95</v>
      </c>
      <c r="C46" s="72" t="n">
        <v>64</v>
      </c>
      <c r="D46" s="73">
        <f>IFERROR(C46-B46,"")</f>
        <v/>
      </c>
      <c r="E46" s="2" t="n"/>
    </row>
    <row r="47" ht="18" customHeight="1">
      <c r="A47" s="68" t="inlineStr">
        <is>
          <t>Feb '26</t>
        </is>
      </c>
      <c r="B47" s="52" t="n">
        <v>24.95</v>
      </c>
      <c r="C47" s="69" t="n">
        <v>64</v>
      </c>
      <c r="D47" s="70">
        <f>IFERROR(C47-B47,"")</f>
        <v/>
      </c>
      <c r="E47" s="57" t="n"/>
    </row>
    <row r="48" ht="18" customHeight="1">
      <c r="A48" s="71" t="inlineStr">
        <is>
          <t>Mar '26</t>
        </is>
      </c>
      <c r="B48" s="59" t="n">
        <v>24.95</v>
      </c>
      <c r="C48" s="72" t="n">
        <v>64</v>
      </c>
      <c r="D48" s="73">
        <f>IFERROR(C48-B48,"")</f>
        <v/>
      </c>
      <c r="E48" s="2" t="n"/>
    </row>
    <row r="49" ht="18" customHeight="1">
      <c r="A49" s="68" t="inlineStr">
        <is>
          <t>Apr '26</t>
        </is>
      </c>
      <c r="B49" s="52" t="n">
        <v>24.95</v>
      </c>
      <c r="C49" s="69" t="n">
        <v>64</v>
      </c>
      <c r="D49" s="70">
        <f>IFERROR(C49-B49,"")</f>
        <v/>
      </c>
      <c r="E49" s="57" t="n"/>
    </row>
    <row r="50" ht="18" customHeight="1">
      <c r="A50" s="71" t="inlineStr">
        <is>
          <t>Jun '26</t>
        </is>
      </c>
      <c r="B50" s="59" t="n">
        <v>24.95</v>
      </c>
      <c r="C50" s="72" t="n">
        <v>64</v>
      </c>
      <c r="D50" s="73">
        <f>IFERROR(C50-B50,"")</f>
        <v/>
      </c>
      <c r="E50" s="2" t="n"/>
    </row>
    <row r="51" ht="22" customHeight="1">
      <c r="A51" s="74" t="inlineStr">
        <is>
          <t>TOTALS</t>
        </is>
      </c>
      <c r="B51" s="75">
        <f>SUM(B39:B50)</f>
        <v/>
      </c>
      <c r="C51" s="75" t="n">
        <v>768</v>
      </c>
      <c r="D51" s="76">
        <f>C51-B51</f>
        <v/>
      </c>
    </row>
    <row r="54" ht="26" customHeight="1">
      <c r="A54" s="79" t="inlineStr">
        <is>
          <t>TRASH  ·  fund $23/mo  ·  avg $22  ·  cushion $1/mo</t>
        </is>
      </c>
    </row>
    <row r="55" ht="20" customHeight="1">
      <c r="A55" s="58" t="inlineStr">
        <is>
          <t>Month</t>
        </is>
      </c>
      <c r="B55" s="58" t="inlineStr">
        <is>
          <t>Actual</t>
        </is>
      </c>
      <c r="C55" s="58" t="inlineStr">
        <is>
          <t>Target</t>
        </is>
      </c>
      <c r="D55" s="58" t="inlineStr">
        <is>
          <t>Net</t>
        </is>
      </c>
      <c r="E55" s="58" t="inlineStr">
        <is>
          <t>Notes</t>
        </is>
      </c>
    </row>
    <row r="56" ht="18" customHeight="1">
      <c r="A56" s="68" t="inlineStr">
        <is>
          <t>Jun '25</t>
        </is>
      </c>
      <c r="B56" s="52" t="n">
        <v>21.37</v>
      </c>
      <c r="C56" s="69" t="n">
        <v>23</v>
      </c>
      <c r="D56" s="70">
        <f>IFERROR(C56-B56,"")</f>
        <v/>
      </c>
      <c r="E56" s="57" t="n"/>
    </row>
    <row r="57" ht="18" customHeight="1">
      <c r="A57" s="71" t="inlineStr">
        <is>
          <t>Jul '25</t>
        </is>
      </c>
      <c r="B57" s="59" t="n">
        <v>24.77</v>
      </c>
      <c r="C57" s="72" t="n">
        <v>23</v>
      </c>
      <c r="D57" s="73">
        <f>IFERROR(C57-B57,"")</f>
        <v/>
      </c>
      <c r="E57" s="2" t="n"/>
    </row>
    <row r="58" ht="18" customHeight="1">
      <c r="A58" s="68" t="inlineStr">
        <is>
          <t>Aug '25</t>
        </is>
      </c>
      <c r="B58" s="52" t="n"/>
      <c r="C58" s="69" t="n">
        <v>23</v>
      </c>
      <c r="D58" s="70">
        <f>IFERROR(C58-B58,"")</f>
        <v/>
      </c>
      <c r="E58" s="57" t="n"/>
    </row>
    <row r="59" ht="18" customHeight="1">
      <c r="A59" s="71" t="inlineStr">
        <is>
          <t>Sep '25</t>
        </is>
      </c>
      <c r="B59" s="59" t="n">
        <v>21.37</v>
      </c>
      <c r="C59" s="72" t="n">
        <v>23</v>
      </c>
      <c r="D59" s="73">
        <f>IFERROR(C59-B59,"")</f>
        <v/>
      </c>
      <c r="E59" s="2" t="n"/>
    </row>
    <row r="60" ht="18" customHeight="1">
      <c r="A60" s="68" t="inlineStr">
        <is>
          <t>Oct '25</t>
        </is>
      </c>
      <c r="B60" s="52" t="n">
        <v>21.37</v>
      </c>
      <c r="C60" s="69" t="n">
        <v>23</v>
      </c>
      <c r="D60" s="70">
        <f>IFERROR(C60-B60,"")</f>
        <v/>
      </c>
      <c r="E60" s="57" t="n"/>
    </row>
    <row r="61" ht="18" customHeight="1">
      <c r="A61" s="71" t="inlineStr">
        <is>
          <t>Nov '25</t>
        </is>
      </c>
      <c r="B61" s="59" t="n">
        <v>21.37</v>
      </c>
      <c r="C61" s="72" t="n">
        <v>23</v>
      </c>
      <c r="D61" s="73">
        <f>IFERROR(C61-B61,"")</f>
        <v/>
      </c>
      <c r="E61" s="2" t="n"/>
    </row>
    <row r="62" ht="18" customHeight="1">
      <c r="A62" s="68" t="inlineStr">
        <is>
          <t>Dec '25</t>
        </is>
      </c>
      <c r="B62" s="52" t="n">
        <v>21.37</v>
      </c>
      <c r="C62" s="69" t="n">
        <v>23</v>
      </c>
      <c r="D62" s="70">
        <f>IFERROR(C62-B62,"")</f>
        <v/>
      </c>
      <c r="E62" s="57" t="n"/>
    </row>
    <row r="63" ht="18" customHeight="1">
      <c r="A63" s="71" t="inlineStr">
        <is>
          <t>Jan '26</t>
        </is>
      </c>
      <c r="B63" s="59" t="n">
        <v>22.01</v>
      </c>
      <c r="C63" s="72" t="n">
        <v>23</v>
      </c>
      <c r="D63" s="73">
        <f>IFERROR(C63-B63,"")</f>
        <v/>
      </c>
      <c r="E63" s="2" t="n"/>
    </row>
    <row r="64" ht="18" customHeight="1">
      <c r="A64" s="68" t="inlineStr">
        <is>
          <t>Feb '26</t>
        </is>
      </c>
      <c r="B64" s="52" t="n">
        <v>22.01</v>
      </c>
      <c r="C64" s="69" t="n">
        <v>23</v>
      </c>
      <c r="D64" s="70">
        <f>IFERROR(C64-B64,"")</f>
        <v/>
      </c>
      <c r="E64" s="57" t="n"/>
    </row>
    <row r="65" ht="18" customHeight="1">
      <c r="A65" s="71" t="inlineStr">
        <is>
          <t>Mar '26</t>
        </is>
      </c>
      <c r="B65" s="59" t="n">
        <v>22.01</v>
      </c>
      <c r="C65" s="72" t="n">
        <v>23</v>
      </c>
      <c r="D65" s="73">
        <f>IFERROR(C65-B65,"")</f>
        <v/>
      </c>
      <c r="E65" s="2" t="n"/>
    </row>
    <row r="66" ht="18" customHeight="1">
      <c r="A66" s="68" t="inlineStr">
        <is>
          <t>Apr '26</t>
        </is>
      </c>
      <c r="B66" s="52" t="n">
        <v>22.01</v>
      </c>
      <c r="C66" s="69" t="n">
        <v>23</v>
      </c>
      <c r="D66" s="70">
        <f>IFERROR(C66-B66,"")</f>
        <v/>
      </c>
      <c r="E66" s="57" t="n"/>
    </row>
    <row r="67" ht="18" customHeight="1">
      <c r="A67" s="71" t="inlineStr">
        <is>
          <t>Jun '26</t>
        </is>
      </c>
      <c r="B67" s="59" t="n">
        <v>22.01</v>
      </c>
      <c r="C67" s="72" t="n">
        <v>23</v>
      </c>
      <c r="D67" s="73">
        <f>IFERROR(C67-B67,"")</f>
        <v/>
      </c>
      <c r="E67" s="2" t="n"/>
    </row>
    <row r="68" ht="22" customHeight="1">
      <c r="A68" s="74" t="inlineStr">
        <is>
          <t>TOTALS</t>
        </is>
      </c>
      <c r="B68" s="75">
        <f>SUM(B56:B67)</f>
        <v/>
      </c>
      <c r="C68" s="75" t="n">
        <v>276</v>
      </c>
      <c r="D68" s="76">
        <f>C68-B68</f>
        <v/>
      </c>
    </row>
  </sheetData>
  <mergeCells count="5">
    <mergeCell ref="A54:F54"/>
    <mergeCell ref="A1:F1"/>
    <mergeCell ref="A37:F37"/>
    <mergeCell ref="A3:F3"/>
    <mergeCell ref="A20:F20"/>
  </mergeCells>
  <conditionalFormatting sqref="D5:D1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22:D3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D39:D5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D56:D67">
    <cfRule type="cellIs" priority="7" operator="greaterThan" dxfId="0">
      <formula>0</formula>
    </cfRule>
    <cfRule type="cellIs" priority="8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5" customWidth="1" min="4" max="4"/>
    <col width="15" customWidth="1" min="5" max="5"/>
    <col width="30" customWidth="1" min="6" max="6"/>
  </cols>
  <sheetData>
    <row r="1" ht="32" customHeight="1">
      <c r="A1" s="66" t="inlineStr">
        <is>
          <t>BILL CALENDAR — ALIGN TO PAYDAY</t>
        </is>
      </c>
    </row>
    <row r="2">
      <c r="A2" s="2" t="inlineStr">
        <is>
          <t>Move due dates so bills land 2–3 days after payday · keep buffers · set it once</t>
        </is>
      </c>
    </row>
    <row r="4" ht="22" customHeight="1">
      <c r="B4" s="42" t="inlineStr">
        <is>
          <t>BILL</t>
        </is>
      </c>
      <c r="C4" s="42" t="inlineStr">
        <is>
          <t>AMOUNT</t>
        </is>
      </c>
      <c r="D4" s="42" t="inlineStr">
        <is>
          <t>CURRENT DUE</t>
        </is>
      </c>
      <c r="E4" s="42" t="inlineStr">
        <is>
          <t>TARGET DUE</t>
        </is>
      </c>
      <c r="F4" s="42" t="inlineStr">
        <is>
          <t>NOTES</t>
        </is>
      </c>
    </row>
    <row r="5" ht="22" customHeight="1">
      <c r="B5" s="80" t="inlineStr">
        <is>
          <t>FIXED BILLS — auto-pay from SoFi checking</t>
        </is>
      </c>
    </row>
    <row r="6" ht="20" customHeight="1">
      <c r="B6" s="81" t="inlineStr">
        <is>
          <t>Mortgage</t>
        </is>
      </c>
      <c r="C6" s="59" t="n">
        <v>837</v>
      </c>
      <c r="D6" s="82" t="inlineStr">
        <is>
          <t>—</t>
        </is>
      </c>
      <c r="E6" s="83" t="inlineStr">
        <is>
          <t>—</t>
        </is>
      </c>
      <c r="F6" s="16" t="inlineStr">
        <is>
          <t>Move to 3rd of month</t>
        </is>
      </c>
    </row>
    <row r="7" ht="20" customHeight="1">
      <c r="B7" s="84" t="inlineStr">
        <is>
          <t>House insurance</t>
        </is>
      </c>
      <c r="C7" s="52" t="n">
        <v>190</v>
      </c>
      <c r="D7" s="85" t="inlineStr">
        <is>
          <t>—</t>
        </is>
      </c>
      <c r="E7" s="86" t="inlineStr">
        <is>
          <t>—</t>
        </is>
      </c>
      <c r="F7" s="6" t="inlineStr">
        <is>
          <t>Move to 4th</t>
        </is>
      </c>
    </row>
    <row r="8" ht="20" customHeight="1">
      <c r="B8" s="81" t="inlineStr">
        <is>
          <t>Auto insurance</t>
        </is>
      </c>
      <c r="C8" s="59" t="n">
        <v>79</v>
      </c>
      <c r="D8" s="82" t="inlineStr">
        <is>
          <t>—</t>
        </is>
      </c>
      <c r="E8" s="83" t="inlineStr">
        <is>
          <t>—</t>
        </is>
      </c>
      <c r="F8" s="16" t="inlineStr">
        <is>
          <t>Move to 5th</t>
        </is>
      </c>
    </row>
    <row r="9" ht="20" customHeight="1">
      <c r="B9" s="84" t="inlineStr">
        <is>
          <t>Phone</t>
        </is>
      </c>
      <c r="C9" s="52" t="n">
        <v>55</v>
      </c>
      <c r="D9" s="85" t="inlineStr">
        <is>
          <t>—</t>
        </is>
      </c>
      <c r="E9" s="86" t="inlineStr">
        <is>
          <t>—</t>
        </is>
      </c>
      <c r="F9" s="6" t="inlineStr">
        <is>
          <t>Move to 6th</t>
        </is>
      </c>
    </row>
    <row r="10" ht="20" customHeight="1">
      <c r="B10" s="81" t="inlineStr">
        <is>
          <t>Property tax set-aside</t>
        </is>
      </c>
      <c r="C10" s="59" t="n">
        <v>54</v>
      </c>
      <c r="D10" s="82" t="inlineStr">
        <is>
          <t>—</t>
        </is>
      </c>
      <c r="E10" s="83" t="inlineStr">
        <is>
          <t>—</t>
        </is>
      </c>
      <c r="F10" s="16" t="inlineStr">
        <is>
          <t>Move to 7th — manual transfer</t>
        </is>
      </c>
    </row>
    <row r="12" ht="22" customHeight="1">
      <c r="B12" s="87" t="inlineStr">
        <is>
          <t>FLEX UTILITIES — auto-draft from Flex account</t>
        </is>
      </c>
    </row>
    <row r="13" ht="20" customHeight="1">
      <c r="B13" s="81" t="inlineStr">
        <is>
          <t>Power</t>
        </is>
      </c>
      <c r="C13" s="59" t="n">
        <v>453</v>
      </c>
      <c r="D13" s="82" t="inlineStr">
        <is>
          <t>—</t>
        </is>
      </c>
      <c r="E13" s="83" t="inlineStr">
        <is>
          <t>—</t>
        </is>
      </c>
      <c r="F13" s="16" t="inlineStr">
        <is>
          <t>Varies — flat funding absorbs swings</t>
        </is>
      </c>
    </row>
    <row r="14" ht="20" customHeight="1">
      <c r="B14" s="84" t="inlineStr">
        <is>
          <t>Water</t>
        </is>
      </c>
      <c r="C14" s="52" t="n">
        <v>90</v>
      </c>
      <c r="D14" s="85" t="inlineStr">
        <is>
          <t>—</t>
        </is>
      </c>
      <c r="E14" s="86" t="inlineStr">
        <is>
          <t>—</t>
        </is>
      </c>
      <c r="F14" s="6" t="inlineStr">
        <is>
          <t>Flat funded; two outlier months flagged</t>
        </is>
      </c>
    </row>
    <row r="15" ht="20" customHeight="1">
      <c r="B15" s="81" t="inlineStr">
        <is>
          <t>Internet</t>
        </is>
      </c>
      <c r="C15" s="59" t="n">
        <v>64</v>
      </c>
      <c r="D15" s="82" t="inlineStr">
        <is>
          <t>—</t>
        </is>
      </c>
      <c r="E15" s="83" t="inlineStr">
        <is>
          <t>—</t>
        </is>
      </c>
      <c r="F15" s="16" t="inlineStr">
        <is>
          <t>On promo $24.95 — $39/mo currently sweeps</t>
        </is>
      </c>
    </row>
    <row r="16" ht="20" customHeight="1">
      <c r="B16" s="84" t="inlineStr">
        <is>
          <t>Trash</t>
        </is>
      </c>
      <c r="C16" s="52" t="n">
        <v>23</v>
      </c>
      <c r="D16" s="85" t="inlineStr">
        <is>
          <t>—</t>
        </is>
      </c>
      <c r="E16" s="86" t="inlineStr">
        <is>
          <t>—</t>
        </is>
      </c>
      <c r="F16" s="6" t="inlineStr">
        <is>
          <t>Stable — rarely varies</t>
        </is>
      </c>
    </row>
    <row r="19" ht="22" customHeight="1">
      <c r="B19" s="3" t="inlineStr">
        <is>
          <t>HOW TO ALIGN DUE DATES — 3 moves</t>
        </is>
      </c>
    </row>
    <row r="20" ht="15" customHeight="1">
      <c r="B20" s="88" t="inlineStr">
        <is>
          <t>● Move the due dates</t>
        </is>
      </c>
    </row>
    <row r="21" ht="36" customHeight="1">
      <c r="B21" s="16" t="inlineStr">
        <is>
          <t>Call each biller and ask to shift your due date — almost all say yes. Target 2-3 days after payday so money is always there when the bill hits.</t>
        </is>
      </c>
    </row>
    <row r="22" ht="15" customHeight="1">
      <c r="B22" s="89" t="inlineStr">
        <is>
          <t>● Keep buffers</t>
        </is>
      </c>
    </row>
    <row r="23" ht="36" customHeight="1">
      <c r="B23" s="6" t="inlineStr">
        <is>
          <t>~$1,215 (one month fixed) parked in SoFi checking + $168 in the Flex account. Once those cushions exist, timing stops mattering.</t>
        </is>
      </c>
    </row>
    <row r="24" ht="15" customHeight="1">
      <c r="B24" s="88" t="inlineStr">
        <is>
          <t>● Group by paycheck</t>
        </is>
      </c>
    </row>
    <row r="25" ht="36" customHeight="1">
      <c r="B25" s="16" t="inlineStr">
        <is>
          <t>If paid biweekly, assign bills to specific checks so no single check is over-loaded. Mortgage from the check that clears it; utilities auto-draft mid-month.</t>
        </is>
      </c>
    </row>
  </sheetData>
  <mergeCells count="8">
    <mergeCell ref="B21:F21"/>
    <mergeCell ref="A2:F2"/>
    <mergeCell ref="B12:F12"/>
    <mergeCell ref="A1:F1"/>
    <mergeCell ref="B25:F25"/>
    <mergeCell ref="B19:F19"/>
    <mergeCell ref="B5:F5"/>
    <mergeCell ref="B23:F2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30" customWidth="1" min="4" max="4"/>
  </cols>
  <sheetData>
    <row r="1" ht="32" customHeight="1">
      <c r="A1" s="41" t="inlineStr">
        <is>
          <t>CATEGORY RULES</t>
        </is>
      </c>
    </row>
    <row r="2" ht="18" customHeight="1">
      <c r="A2" s="2" t="inlineStr">
        <is>
          <t>Keyword in a merchant description → spending category. Edit freely — add your own merchants below the last row.</t>
        </is>
      </c>
    </row>
    <row r="3" ht="28" customHeight="1">
      <c r="A3" s="90" t="inlineStr">
        <is>
          <t>Matching is case-insensitive and partial — "SHELL" matches "SHELL #1234 JACKSONVILLE". First match wins. Leave OVERRIDE blank on the Transactions tab to use AUTO CAT.</t>
        </is>
      </c>
    </row>
    <row r="4" ht="4" customHeight="1"/>
    <row r="5" ht="22" customHeight="1">
      <c r="B5" s="87" t="inlineStr">
        <is>
          <t>KEYWORD (partial match, case-insensitive)</t>
        </is>
      </c>
      <c r="C5" s="87" t="inlineStr">
        <is>
          <t>CATEGORY</t>
        </is>
      </c>
      <c r="D5" s="87" t="inlineStr">
        <is>
          <t>NOTES</t>
        </is>
      </c>
    </row>
    <row r="6" ht="18" customHeight="1">
      <c r="A6" s="10" t="n"/>
      <c r="B6" s="91" t="inlineStr">
        <is>
          <t>SHELL</t>
        </is>
      </c>
      <c r="C6" s="84" t="inlineStr">
        <is>
          <t>Gas</t>
        </is>
      </c>
      <c r="D6" s="57" t="n"/>
    </row>
    <row r="7" ht="18" customHeight="1">
      <c r="A7" s="14" t="n"/>
      <c r="B7" s="92" t="inlineStr">
        <is>
          <t>EXXON</t>
        </is>
      </c>
      <c r="C7" s="81" t="inlineStr">
        <is>
          <t>Gas</t>
        </is>
      </c>
      <c r="D7" s="2" t="n"/>
    </row>
    <row r="8" ht="18" customHeight="1">
      <c r="A8" s="10" t="n"/>
      <c r="B8" s="91" t="inlineStr">
        <is>
          <t>CHEVRON</t>
        </is>
      </c>
      <c r="C8" s="84" t="inlineStr">
        <is>
          <t>Gas</t>
        </is>
      </c>
      <c r="D8" s="57" t="n"/>
    </row>
    <row r="9" ht="18" customHeight="1">
      <c r="A9" s="14" t="n"/>
      <c r="B9" s="92" t="inlineStr">
        <is>
          <t>MARATHON</t>
        </is>
      </c>
      <c r="C9" s="81" t="inlineStr">
        <is>
          <t>Gas</t>
        </is>
      </c>
      <c r="D9" s="2" t="n"/>
    </row>
    <row r="10" ht="18" customHeight="1">
      <c r="A10" s="10" t="n"/>
      <c r="B10" s="91" t="inlineStr">
        <is>
          <t>CIRCLE K</t>
        </is>
      </c>
      <c r="C10" s="84" t="inlineStr">
        <is>
          <t>Gas</t>
        </is>
      </c>
      <c r="D10" s="57" t="n"/>
    </row>
    <row r="11" ht="18" customHeight="1">
      <c r="A11" s="14" t="n"/>
      <c r="B11" s="92" t="inlineStr">
        <is>
          <t>MURPHY</t>
        </is>
      </c>
      <c r="C11" s="81" t="inlineStr">
        <is>
          <t>Gas</t>
        </is>
      </c>
      <c r="D11" s="2" t="n"/>
    </row>
    <row r="12" ht="18" customHeight="1">
      <c r="A12" s="10" t="n"/>
      <c r="B12" s="91" t="inlineStr">
        <is>
          <t>RACEWAY</t>
        </is>
      </c>
      <c r="C12" s="84" t="inlineStr">
        <is>
          <t>Gas</t>
        </is>
      </c>
      <c r="D12" s="57" t="n"/>
    </row>
    <row r="13" ht="18" customHeight="1">
      <c r="A13" s="14" t="n"/>
      <c r="B13" s="92" t="inlineStr">
        <is>
          <t>QUIKTRIP</t>
        </is>
      </c>
      <c r="C13" s="81" t="inlineStr">
        <is>
          <t>Gas</t>
        </is>
      </c>
      <c r="D13" s="2" t="n"/>
    </row>
    <row r="14" ht="18" customHeight="1">
      <c r="A14" s="10" t="n"/>
      <c r="B14" s="91" t="inlineStr">
        <is>
          <t xml:space="preserve">BP </t>
        </is>
      </c>
      <c r="C14" s="84" t="inlineStr">
        <is>
          <t>Gas</t>
        </is>
      </c>
      <c r="D14" s="57" t="n"/>
    </row>
    <row r="15" ht="18" customHeight="1">
      <c r="A15" s="14" t="n"/>
      <c r="B15" s="92" t="inlineStr">
        <is>
          <t>PILOT</t>
        </is>
      </c>
      <c r="C15" s="81" t="inlineStr">
        <is>
          <t>Gas</t>
        </is>
      </c>
      <c r="D15" s="2" t="n"/>
    </row>
    <row r="16" ht="18" customHeight="1">
      <c r="A16" s="10" t="n"/>
      <c r="B16" s="91" t="inlineStr">
        <is>
          <t>WALMART</t>
        </is>
      </c>
      <c r="C16" s="84" t="inlineStr">
        <is>
          <t>Groceries</t>
        </is>
      </c>
      <c r="D16" s="57" t="n"/>
    </row>
    <row r="17" ht="18" customHeight="1">
      <c r="A17" s="14" t="n"/>
      <c r="B17" s="92" t="inlineStr">
        <is>
          <t>PUBLIX</t>
        </is>
      </c>
      <c r="C17" s="81" t="inlineStr">
        <is>
          <t>Groceries</t>
        </is>
      </c>
      <c r="D17" s="2" t="n"/>
    </row>
    <row r="18" ht="18" customHeight="1">
      <c r="A18" s="10" t="n"/>
      <c r="B18" s="91" t="inlineStr">
        <is>
          <t>KROGER</t>
        </is>
      </c>
      <c r="C18" s="84" t="inlineStr">
        <is>
          <t>Groceries</t>
        </is>
      </c>
      <c r="D18" s="57" t="n"/>
    </row>
    <row r="19" ht="18" customHeight="1">
      <c r="A19" s="14" t="n"/>
      <c r="B19" s="92" t="inlineStr">
        <is>
          <t>ALDI</t>
        </is>
      </c>
      <c r="C19" s="81" t="inlineStr">
        <is>
          <t>Groceries</t>
        </is>
      </c>
      <c r="D19" s="2" t="n"/>
    </row>
    <row r="20" ht="18" customHeight="1">
      <c r="A20" s="10" t="n"/>
      <c r="B20" s="91" t="inlineStr">
        <is>
          <t>WINN</t>
        </is>
      </c>
      <c r="C20" s="84" t="inlineStr">
        <is>
          <t>Groceries</t>
        </is>
      </c>
      <c r="D20" s="57" t="n"/>
    </row>
    <row r="21" ht="18" customHeight="1">
      <c r="A21" s="14" t="n"/>
      <c r="B21" s="92" t="inlineStr">
        <is>
          <t>FOOD GIANT</t>
        </is>
      </c>
      <c r="C21" s="81" t="inlineStr">
        <is>
          <t>Groceries</t>
        </is>
      </c>
      <c r="D21" s="2" t="n"/>
    </row>
    <row r="22" ht="18" customHeight="1">
      <c r="A22" s="10" t="n"/>
      <c r="B22" s="91" t="inlineStr">
        <is>
          <t>SAMS</t>
        </is>
      </c>
      <c r="C22" s="84" t="inlineStr">
        <is>
          <t>Groceries</t>
        </is>
      </c>
      <c r="D22" s="57" t="n"/>
    </row>
    <row r="23" ht="18" customHeight="1">
      <c r="A23" s="14" t="n"/>
      <c r="B23" s="92" t="inlineStr">
        <is>
          <t>GROCER</t>
        </is>
      </c>
      <c r="C23" s="81" t="inlineStr">
        <is>
          <t>Groceries</t>
        </is>
      </c>
      <c r="D23" s="2" t="n"/>
    </row>
    <row r="24" ht="18" customHeight="1">
      <c r="A24" s="10" t="n"/>
      <c r="B24" s="91" t="inlineStr">
        <is>
          <t>MCDONALD</t>
        </is>
      </c>
      <c r="C24" s="84" t="inlineStr">
        <is>
          <t>Spending</t>
        </is>
      </c>
      <c r="D24" s="57" t="n"/>
    </row>
    <row r="25" ht="18" customHeight="1">
      <c r="A25" s="14" t="n"/>
      <c r="B25" s="92" t="inlineStr">
        <is>
          <t>BURGER</t>
        </is>
      </c>
      <c r="C25" s="81" t="inlineStr">
        <is>
          <t>Spending</t>
        </is>
      </c>
      <c r="D25" s="2" t="n"/>
    </row>
    <row r="26" ht="18" customHeight="1">
      <c r="A26" s="10" t="n"/>
      <c r="B26" s="91" t="inlineStr">
        <is>
          <t>WENDY</t>
        </is>
      </c>
      <c r="C26" s="84" t="inlineStr">
        <is>
          <t>Spending</t>
        </is>
      </c>
      <c r="D26" s="57" t="n"/>
    </row>
    <row r="27" ht="18" customHeight="1">
      <c r="A27" s="14" t="n"/>
      <c r="B27" s="92" t="inlineStr">
        <is>
          <t>TACO</t>
        </is>
      </c>
      <c r="C27" s="81" t="inlineStr">
        <is>
          <t>Spending</t>
        </is>
      </c>
      <c r="D27" s="2" t="n"/>
    </row>
    <row r="28" ht="18" customHeight="1">
      <c r="A28" s="10" t="n"/>
      <c r="B28" s="91" t="inlineStr">
        <is>
          <t>CHICK</t>
        </is>
      </c>
      <c r="C28" s="84" t="inlineStr">
        <is>
          <t>Spending</t>
        </is>
      </c>
      <c r="D28" s="57" t="n"/>
    </row>
    <row r="29" ht="18" customHeight="1">
      <c r="A29" s="14" t="n"/>
      <c r="B29" s="92" t="inlineStr">
        <is>
          <t>STARBUCK</t>
        </is>
      </c>
      <c r="C29" s="81" t="inlineStr">
        <is>
          <t>Spending</t>
        </is>
      </c>
      <c r="D29" s="2" t="n"/>
    </row>
    <row r="30" ht="18" customHeight="1">
      <c r="A30" s="10" t="n"/>
      <c r="B30" s="91" t="inlineStr">
        <is>
          <t>DOORDASH</t>
        </is>
      </c>
      <c r="C30" s="84" t="inlineStr">
        <is>
          <t>Spending</t>
        </is>
      </c>
      <c r="D30" s="57" t="n"/>
    </row>
    <row r="31" ht="18" customHeight="1">
      <c r="A31" s="14" t="n"/>
      <c r="B31" s="92" t="inlineStr">
        <is>
          <t>UBER EATS</t>
        </is>
      </c>
      <c r="C31" s="81" t="inlineStr">
        <is>
          <t>Spending</t>
        </is>
      </c>
      <c r="D31" s="2" t="n"/>
    </row>
    <row r="32" ht="18" customHeight="1">
      <c r="A32" s="10" t="n"/>
      <c r="B32" s="91" t="inlineStr">
        <is>
          <t xml:space="preserve">BAR </t>
        </is>
      </c>
      <c r="C32" s="84" t="inlineStr">
        <is>
          <t>Spending</t>
        </is>
      </c>
      <c r="D32" s="57" t="n"/>
    </row>
    <row r="33" ht="18" customHeight="1">
      <c r="A33" s="14" t="n"/>
      <c r="B33" s="92" t="inlineStr">
        <is>
          <t>LIQUOR</t>
        </is>
      </c>
      <c r="C33" s="81" t="inlineStr">
        <is>
          <t>Spending</t>
        </is>
      </c>
      <c r="D33" s="2" t="n"/>
    </row>
    <row r="34" ht="18" customHeight="1">
      <c r="A34" s="10" t="n"/>
      <c r="B34" s="91" t="inlineStr">
        <is>
          <t>AMAZON</t>
        </is>
      </c>
      <c r="C34" s="84" t="inlineStr">
        <is>
          <t>Spending</t>
        </is>
      </c>
      <c r="D34" s="57" t="n"/>
    </row>
    <row r="35" ht="18" customHeight="1">
      <c r="A35" s="14" t="n"/>
      <c r="B35" s="92" t="inlineStr">
        <is>
          <t>DOLLAR</t>
        </is>
      </c>
      <c r="C35" s="81" t="inlineStr">
        <is>
          <t>Spending</t>
        </is>
      </c>
      <c r="D35" s="2" t="n"/>
    </row>
    <row r="36" ht="18" customHeight="1">
      <c r="A36" s="10" t="n"/>
      <c r="B36" s="91" t="inlineStr">
        <is>
          <t>ALABAMA POWER</t>
        </is>
      </c>
      <c r="C36" s="84" t="inlineStr">
        <is>
          <t>Power</t>
        </is>
      </c>
      <c r="D36" s="57" t="n"/>
    </row>
    <row r="37" ht="18" customHeight="1">
      <c r="A37" s="14" t="n"/>
      <c r="B37" s="92" t="inlineStr">
        <is>
          <t>POWER CO</t>
        </is>
      </c>
      <c r="C37" s="81" t="inlineStr">
        <is>
          <t>Power</t>
        </is>
      </c>
      <c r="D37" s="2" t="n"/>
    </row>
    <row r="38" ht="18" customHeight="1">
      <c r="A38" s="10" t="n"/>
      <c r="B38" s="91" t="inlineStr">
        <is>
          <t>ELECTRIC</t>
        </is>
      </c>
      <c r="C38" s="84" t="inlineStr">
        <is>
          <t>Power</t>
        </is>
      </c>
      <c r="D38" s="57" t="n"/>
    </row>
    <row r="39" ht="18" customHeight="1">
      <c r="A39" s="14" t="n"/>
      <c r="B39" s="92" t="inlineStr">
        <is>
          <t>WATER</t>
        </is>
      </c>
      <c r="C39" s="81" t="inlineStr">
        <is>
          <t>Water</t>
        </is>
      </c>
      <c r="D39" s="2" t="n"/>
    </row>
    <row r="40" ht="18" customHeight="1">
      <c r="A40" s="10" t="n"/>
      <c r="B40" s="91" t="inlineStr">
        <is>
          <t>SEWER</t>
        </is>
      </c>
      <c r="C40" s="84" t="inlineStr">
        <is>
          <t>Water</t>
        </is>
      </c>
      <c r="D40" s="57" t="n"/>
    </row>
    <row r="41" ht="18" customHeight="1">
      <c r="A41" s="14" t="n"/>
      <c r="B41" s="92" t="inlineStr">
        <is>
          <t>SPECTRUM</t>
        </is>
      </c>
      <c r="C41" s="81" t="inlineStr">
        <is>
          <t>Internet</t>
        </is>
      </c>
      <c r="D41" s="2" t="n"/>
    </row>
    <row r="42" ht="18" customHeight="1">
      <c r="A42" s="10" t="n"/>
      <c r="B42" s="91" t="inlineStr">
        <is>
          <t>XFINITY</t>
        </is>
      </c>
      <c r="C42" s="84" t="inlineStr">
        <is>
          <t>Internet</t>
        </is>
      </c>
      <c r="D42" s="57" t="n"/>
    </row>
    <row r="43" ht="18" customHeight="1">
      <c r="A43" s="14" t="n"/>
      <c r="B43" s="92" t="inlineStr">
        <is>
          <t>COMCAST</t>
        </is>
      </c>
      <c r="C43" s="81" t="inlineStr">
        <is>
          <t>Internet</t>
        </is>
      </c>
      <c r="D43" s="2" t="n"/>
    </row>
    <row r="44" ht="18" customHeight="1">
      <c r="A44" s="10" t="n"/>
      <c r="B44" s="91" t="inlineStr">
        <is>
          <t>INTERNET</t>
        </is>
      </c>
      <c r="C44" s="84" t="inlineStr">
        <is>
          <t>Internet</t>
        </is>
      </c>
      <c r="D44" s="57" t="n"/>
    </row>
    <row r="45" ht="18" customHeight="1">
      <c r="A45" s="14" t="n"/>
      <c r="B45" s="92" t="inlineStr">
        <is>
          <t>WASTE</t>
        </is>
      </c>
      <c r="C45" s="81" t="inlineStr">
        <is>
          <t>Trash</t>
        </is>
      </c>
      <c r="D45" s="2" t="n"/>
    </row>
    <row r="46" ht="18" customHeight="1">
      <c r="A46" s="10" t="n"/>
      <c r="B46" s="91" t="inlineStr">
        <is>
          <t>SANITATION</t>
        </is>
      </c>
      <c r="C46" s="84" t="inlineStr">
        <is>
          <t>Trash</t>
        </is>
      </c>
      <c r="D46" s="57" t="n"/>
    </row>
    <row r="47" ht="18" customHeight="1">
      <c r="A47" s="14" t="n"/>
      <c r="B47" s="92" t="inlineStr">
        <is>
          <t>TRASH</t>
        </is>
      </c>
      <c r="C47" s="81" t="inlineStr">
        <is>
          <t>Trash</t>
        </is>
      </c>
      <c r="D47" s="2" t="n"/>
    </row>
    <row r="48" ht="18" customHeight="1">
      <c r="A48" s="10" t="n"/>
      <c r="B48" s="91" t="inlineStr">
        <is>
          <t>MORTGAGE</t>
        </is>
      </c>
      <c r="C48" s="84" t="inlineStr">
        <is>
          <t>Mortgage</t>
        </is>
      </c>
      <c r="D48" s="57" t="n"/>
    </row>
    <row r="49" ht="18" customHeight="1">
      <c r="A49" s="14" t="n"/>
      <c r="B49" s="92" t="inlineStr">
        <is>
          <t>LOAN PMT</t>
        </is>
      </c>
      <c r="C49" s="81" t="inlineStr">
        <is>
          <t>Mortgage</t>
        </is>
      </c>
      <c r="D49" s="2" t="n"/>
    </row>
    <row r="50" ht="18" customHeight="1">
      <c r="A50" s="10" t="n"/>
      <c r="B50" s="91" t="inlineStr">
        <is>
          <t>INSURANCE</t>
        </is>
      </c>
      <c r="C50" s="84" t="inlineStr">
        <is>
          <t>Insurance</t>
        </is>
      </c>
      <c r="D50" s="57" t="n"/>
    </row>
    <row r="51" ht="18" customHeight="1">
      <c r="A51" s="14" t="n"/>
      <c r="B51" s="92" t="inlineStr">
        <is>
          <t>GEICO</t>
        </is>
      </c>
      <c r="C51" s="81" t="inlineStr">
        <is>
          <t>Insurance</t>
        </is>
      </c>
      <c r="D51" s="2" t="n"/>
    </row>
    <row r="52" ht="18" customHeight="1">
      <c r="A52" s="10" t="n"/>
      <c r="B52" s="91" t="inlineStr">
        <is>
          <t>STATE FARM</t>
        </is>
      </c>
      <c r="C52" s="84" t="inlineStr">
        <is>
          <t>Insurance</t>
        </is>
      </c>
      <c r="D52" s="57" t="n"/>
    </row>
    <row r="53" ht="18" customHeight="1">
      <c r="A53" s="14" t="n"/>
      <c r="B53" s="92" t="inlineStr">
        <is>
          <t>ALLSTATE</t>
        </is>
      </c>
      <c r="C53" s="81" t="inlineStr">
        <is>
          <t>Insurance</t>
        </is>
      </c>
      <c r="D53" s="2" t="n"/>
    </row>
    <row r="54" ht="18" customHeight="1">
      <c r="A54" s="10" t="n"/>
      <c r="B54" s="91" t="inlineStr">
        <is>
          <t>PROGRESSIVE</t>
        </is>
      </c>
      <c r="C54" s="84" t="inlineStr">
        <is>
          <t>Insurance</t>
        </is>
      </c>
      <c r="D54" s="57" t="n"/>
    </row>
    <row r="55" ht="18" customHeight="1">
      <c r="A55" s="14" t="n"/>
      <c r="B55" s="92" t="inlineStr">
        <is>
          <t>VERIZON</t>
        </is>
      </c>
      <c r="C55" s="81" t="inlineStr">
        <is>
          <t>Phone</t>
        </is>
      </c>
      <c r="D55" s="2" t="n"/>
    </row>
    <row r="56" ht="18" customHeight="1">
      <c r="A56" s="10" t="n"/>
      <c r="B56" s="91" t="inlineStr">
        <is>
          <t>T-MOBILE</t>
        </is>
      </c>
      <c r="C56" s="84" t="inlineStr">
        <is>
          <t>Phone</t>
        </is>
      </c>
      <c r="D56" s="57" t="n"/>
    </row>
    <row r="57" ht="18" customHeight="1">
      <c r="A57" s="14" t="n"/>
      <c r="B57" s="92" t="inlineStr">
        <is>
          <t>CRICKET</t>
        </is>
      </c>
      <c r="C57" s="81" t="inlineStr">
        <is>
          <t>Phone</t>
        </is>
      </c>
      <c r="D57" s="2" t="n"/>
    </row>
    <row r="58" ht="18" customHeight="1">
      <c r="A58" s="10" t="n"/>
      <c r="B58" s="91" t="inlineStr">
        <is>
          <t>AT&amp;T</t>
        </is>
      </c>
      <c r="C58" s="84" t="inlineStr">
        <is>
          <t>Phone</t>
        </is>
      </c>
      <c r="D58" s="57" t="n"/>
    </row>
    <row r="59" ht="18" customHeight="1">
      <c r="A59" s="14" t="n"/>
      <c r="B59" s="92" t="inlineStr">
        <is>
          <t>TRANSFER</t>
        </is>
      </c>
      <c r="C59" s="81" t="inlineStr">
        <is>
          <t>Savings</t>
        </is>
      </c>
      <c r="D59" s="2" t="n"/>
    </row>
    <row r="60" ht="18" customHeight="1">
      <c r="A60" s="10" t="n"/>
      <c r="B60" s="91" t="inlineStr">
        <is>
          <t>VAULT</t>
        </is>
      </c>
      <c r="C60" s="84" t="inlineStr">
        <is>
          <t>Savings</t>
        </is>
      </c>
      <c r="D60" s="57" t="n"/>
    </row>
    <row r="61" ht="18" customHeight="1">
      <c r="A61" s="14" t="n"/>
      <c r="B61" s="92" t="inlineStr">
        <is>
          <t>SAVINGS</t>
        </is>
      </c>
      <c r="C61" s="81" t="inlineStr">
        <is>
          <t>Savings</t>
        </is>
      </c>
      <c r="D61" s="2" t="n"/>
    </row>
    <row r="62" ht="18" customHeight="1">
      <c r="A62" s="10" t="n"/>
      <c r="B62" s="93" t="n"/>
      <c r="C62" s="94" t="n"/>
      <c r="D62" s="10" t="n"/>
    </row>
    <row r="63" ht="18" customHeight="1">
      <c r="A63" s="14" t="n"/>
      <c r="B63" s="95" t="n"/>
      <c r="C63" s="96" t="n"/>
      <c r="D63" s="14" t="n"/>
    </row>
    <row r="64" ht="18" customHeight="1">
      <c r="A64" s="10" t="n"/>
      <c r="B64" s="93" t="n"/>
      <c r="C64" s="94" t="n"/>
      <c r="D64" s="10" t="n"/>
    </row>
    <row r="65" ht="18" customHeight="1">
      <c r="A65" s="14" t="n"/>
      <c r="B65" s="95" t="n"/>
      <c r="C65" s="96" t="n"/>
      <c r="D65" s="14" t="n"/>
    </row>
    <row r="66" ht="18" customHeight="1">
      <c r="A66" s="10" t="n"/>
      <c r="B66" s="93" t="n"/>
      <c r="C66" s="94" t="n"/>
      <c r="D66" s="10" t="n"/>
    </row>
    <row r="67" ht="18" customHeight="1">
      <c r="A67" s="14" t="n"/>
      <c r="B67" s="95" t="n"/>
      <c r="C67" s="96" t="n"/>
      <c r="D67" s="14" t="n"/>
    </row>
    <row r="68" ht="18" customHeight="1">
      <c r="A68" s="10" t="n"/>
      <c r="B68" s="93" t="n"/>
      <c r="C68" s="94" t="n"/>
      <c r="D68" s="10" t="n"/>
    </row>
    <row r="69" ht="18" customHeight="1">
      <c r="A69" s="14" t="n"/>
      <c r="B69" s="95" t="n"/>
      <c r="C69" s="96" t="n"/>
      <c r="D69" s="14" t="n"/>
    </row>
    <row r="70" ht="18" customHeight="1">
      <c r="A70" s="10" t="n"/>
      <c r="B70" s="93" t="n"/>
      <c r="C70" s="94" t="n"/>
      <c r="D70" s="10" t="n"/>
    </row>
    <row r="71" ht="18" customHeight="1">
      <c r="A71" s="14" t="n"/>
      <c r="B71" s="95" t="n"/>
      <c r="C71" s="96" t="n"/>
      <c r="D71" s="14" t="n"/>
    </row>
    <row r="72" ht="18" customHeight="1">
      <c r="A72" s="10" t="n"/>
      <c r="B72" s="93" t="n"/>
      <c r="C72" s="94" t="n"/>
      <c r="D72" s="10" t="n"/>
    </row>
    <row r="73" ht="18" customHeight="1">
      <c r="A73" s="14" t="n"/>
      <c r="B73" s="95" t="n"/>
      <c r="C73" s="96" t="n"/>
      <c r="D73" s="14" t="n"/>
    </row>
    <row r="74" ht="18" customHeight="1">
      <c r="A74" s="10" t="n"/>
      <c r="B74" s="93" t="n"/>
      <c r="C74" s="94" t="n"/>
      <c r="D74" s="10" t="n"/>
    </row>
    <row r="75" ht="18" customHeight="1">
      <c r="A75" s="14" t="n"/>
      <c r="B75" s="95" t="n"/>
      <c r="C75" s="96" t="n"/>
      <c r="D75" s="14" t="n"/>
    </row>
  </sheetData>
  <mergeCells count="3">
    <mergeCell ref="A1:D1"/>
    <mergeCell ref="A3:D3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34" customWidth="1" min="3" max="3"/>
    <col width="12" customWidth="1" min="4" max="4"/>
    <col width="15" customWidth="1" min="5" max="5"/>
    <col width="14" customWidth="1" min="6" max="6"/>
    <col width="15" customWidth="1" min="7" max="7"/>
    <col width="12" customWidth="1" min="8" max="8"/>
  </cols>
  <sheetData>
    <row r="1" ht="32" customHeight="1">
      <c r="A1" s="41" t="inlineStr">
        <is>
          <t>TRANSACTIONS — paste from any CSV export</t>
        </is>
      </c>
    </row>
    <row r="2" ht="18" customHeight="1">
      <c r="A2" s="2" t="inlineStr">
        <is>
          <t>Paste Date / Description / Amount into the blue columns (B, C, D). AUTO CAT fills itself from Category Rules. Use OVERRIDE (col F) to correct a wrong category for one row.</t>
        </is>
      </c>
    </row>
    <row r="3" ht="24" customHeight="1">
      <c r="A3" s="90" t="inlineStr">
        <is>
          <t>Amounts: paste spending as POSITIVE numbers. Add merchants to Category Rules whenever AUTO CAT shows "Uncategorized".</t>
        </is>
      </c>
    </row>
    <row r="4" ht="4" customHeight="1"/>
    <row r="5" ht="22" customHeight="1">
      <c r="B5" s="47" t="inlineStr">
        <is>
          <t>DATE</t>
        </is>
      </c>
      <c r="C5" s="47" t="inlineStr">
        <is>
          <t>DESCRIPTION</t>
        </is>
      </c>
      <c r="D5" s="47" t="inlineStr">
        <is>
          <t>AMOUNT</t>
        </is>
      </c>
      <c r="E5" s="97" t="inlineStr">
        <is>
          <t>AUTO CAT</t>
        </is>
      </c>
      <c r="F5" s="49" t="inlineStr">
        <is>
          <t>OVERRIDE</t>
        </is>
      </c>
      <c r="G5" s="50" t="inlineStr">
        <is>
          <t>FINAL CAT</t>
        </is>
      </c>
      <c r="H5" s="42" t="inlineStr">
        <is>
          <t>MONTH</t>
        </is>
      </c>
    </row>
    <row r="6" ht="18" customHeight="1">
      <c r="A6" s="10" t="n"/>
      <c r="B6" s="98" t="inlineStr">
        <is>
          <t>2026-06-15</t>
        </is>
      </c>
      <c r="C6" s="99" t="inlineStr">
        <is>
          <t>SHELL #1234 JACKSONVILLE</t>
        </is>
      </c>
      <c r="D6" s="100" t="n">
        <v>58.4</v>
      </c>
      <c r="E6" s="101">
        <f>IF($C6="","",IFERROR(LOOKUP(2,1/((ISNUMBER(SEARCH('Category Rules'!$B$6:$B$75,$C6)))*('Category Rules'!$B$6:$B$75&lt;&gt;"")),'Category Rules'!$C$6:$C$75),"Uncategorized"))</f>
        <v/>
      </c>
      <c r="F6" s="102" t="n"/>
      <c r="G6" s="103">
        <f>IF($C6="","",IF($F6&lt;&gt;"",$F6,$E6))</f>
        <v/>
      </c>
      <c r="H6" s="85">
        <f>IF($B6="","",TEXT($B6,"mmm yyyy"))</f>
        <v/>
      </c>
    </row>
    <row r="7" ht="18" customHeight="1">
      <c r="A7" s="14" t="n"/>
      <c r="B7" s="98" t="inlineStr">
        <is>
          <t>2026-06-16</t>
        </is>
      </c>
      <c r="C7" s="99" t="inlineStr">
        <is>
          <t>WALMART SUPERCENTER</t>
        </is>
      </c>
      <c r="D7" s="100" t="n">
        <v>92.13</v>
      </c>
      <c r="E7" s="104">
        <f>IF($C7="","",IFERROR(LOOKUP(2,1/((ISNUMBER(SEARCH('Category Rules'!$B$6:$B$75,$C7)))*('Category Rules'!$B$6:$B$75&lt;&gt;"")),'Category Rules'!$C$6:$C$75),"Uncategorized"))</f>
        <v/>
      </c>
      <c r="F7" s="105" t="n"/>
      <c r="G7" s="106">
        <f>IF($C7="","",IF($F7&lt;&gt;"",$F7,$E7))</f>
        <v/>
      </c>
      <c r="H7" s="82">
        <f>IF($B7="","",TEXT($B7,"mmm yyyy"))</f>
        <v/>
      </c>
    </row>
    <row r="8" ht="18" customHeight="1">
      <c r="A8" s="10" t="n"/>
      <c r="B8" s="98" t="inlineStr">
        <is>
          <t>2026-06-18</t>
        </is>
      </c>
      <c r="C8" s="99" t="inlineStr">
        <is>
          <t>MCDONALDS F12</t>
        </is>
      </c>
      <c r="D8" s="100" t="n">
        <v>11.5</v>
      </c>
      <c r="E8" s="101">
        <f>IF($C8="","",IFERROR(LOOKUP(2,1/((ISNUMBER(SEARCH('Category Rules'!$B$6:$B$75,$C8)))*('Category Rules'!$B$6:$B$75&lt;&gt;"")),'Category Rules'!$C$6:$C$75),"Uncategorized"))</f>
        <v/>
      </c>
      <c r="F8" s="102" t="n"/>
      <c r="G8" s="103">
        <f>IF($C8="","",IF($F8&lt;&gt;"",$F8,$E8))</f>
        <v/>
      </c>
      <c r="H8" s="85">
        <f>IF($B8="","",TEXT($B8,"mmm yyyy"))</f>
        <v/>
      </c>
    </row>
    <row r="9" ht="18" customHeight="1">
      <c r="A9" s="14" t="n"/>
      <c r="B9" s="107" t="n"/>
      <c r="C9" s="81" t="n"/>
      <c r="D9" s="59" t="n"/>
      <c r="E9" s="104">
        <f>IF($C9="","",IFERROR(LOOKUP(2,1/((ISNUMBER(SEARCH('Category Rules'!$B$6:$B$75,$C9)))*('Category Rules'!$B$6:$B$75&lt;&gt;"")),'Category Rules'!$C$6:$C$75),"Uncategorized"))</f>
        <v/>
      </c>
      <c r="F9" s="108" t="n"/>
      <c r="G9" s="106">
        <f>IF($C9="","",IF($F9&lt;&gt;"",$F9,$E9))</f>
        <v/>
      </c>
      <c r="H9" s="82">
        <f>IF($B9="","",TEXT($B9,"mmm yyyy"))</f>
        <v/>
      </c>
    </row>
    <row r="10" ht="18" customHeight="1">
      <c r="A10" s="10" t="n"/>
      <c r="B10" s="109" t="n"/>
      <c r="C10" s="84" t="n"/>
      <c r="D10" s="52" t="n"/>
      <c r="E10" s="101">
        <f>IF($C10="","",IFERROR(LOOKUP(2,1/((ISNUMBER(SEARCH('Category Rules'!$B$6:$B$75,$C10)))*('Category Rules'!$B$6:$B$75&lt;&gt;"")),'Category Rules'!$C$6:$C$75),"Uncategorized"))</f>
        <v/>
      </c>
      <c r="F10" s="108" t="n"/>
      <c r="G10" s="103">
        <f>IF($C10="","",IF($F10&lt;&gt;"",$F10,$E10))</f>
        <v/>
      </c>
      <c r="H10" s="85">
        <f>IF($B10="","",TEXT($B10,"mmm yyyy"))</f>
        <v/>
      </c>
    </row>
    <row r="11" ht="18" customHeight="1">
      <c r="A11" s="14" t="n"/>
      <c r="B11" s="107" t="n"/>
      <c r="C11" s="81" t="n"/>
      <c r="D11" s="59" t="n"/>
      <c r="E11" s="104">
        <f>IF($C11="","",IFERROR(LOOKUP(2,1/((ISNUMBER(SEARCH('Category Rules'!$B$6:$B$75,$C11)))*('Category Rules'!$B$6:$B$75&lt;&gt;"")),'Category Rules'!$C$6:$C$75),"Uncategorized"))</f>
        <v/>
      </c>
      <c r="F11" s="108" t="n"/>
      <c r="G11" s="106">
        <f>IF($C11="","",IF($F11&lt;&gt;"",$F11,$E11))</f>
        <v/>
      </c>
      <c r="H11" s="82">
        <f>IF($B11="","",TEXT($B11,"mmm yyyy"))</f>
        <v/>
      </c>
    </row>
    <row r="12" ht="18" customHeight="1">
      <c r="A12" s="10" t="n"/>
      <c r="B12" s="109" t="n"/>
      <c r="C12" s="84" t="n"/>
      <c r="D12" s="52" t="n"/>
      <c r="E12" s="101">
        <f>IF($C12="","",IFERROR(LOOKUP(2,1/((ISNUMBER(SEARCH('Category Rules'!$B$6:$B$75,$C12)))*('Category Rules'!$B$6:$B$75&lt;&gt;"")),'Category Rules'!$C$6:$C$75),"Uncategorized"))</f>
        <v/>
      </c>
      <c r="F12" s="108" t="n"/>
      <c r="G12" s="103">
        <f>IF($C12="","",IF($F12&lt;&gt;"",$F12,$E12))</f>
        <v/>
      </c>
      <c r="H12" s="85">
        <f>IF($B12="","",TEXT($B12,"mmm yyyy"))</f>
        <v/>
      </c>
    </row>
    <row r="13" ht="18" customHeight="1">
      <c r="A13" s="14" t="n"/>
      <c r="B13" s="107" t="n"/>
      <c r="C13" s="81" t="n"/>
      <c r="D13" s="59" t="n"/>
      <c r="E13" s="104">
        <f>IF($C13="","",IFERROR(LOOKUP(2,1/((ISNUMBER(SEARCH('Category Rules'!$B$6:$B$75,$C13)))*('Category Rules'!$B$6:$B$75&lt;&gt;"")),'Category Rules'!$C$6:$C$75),"Uncategorized"))</f>
        <v/>
      </c>
      <c r="F13" s="108" t="n"/>
      <c r="G13" s="106">
        <f>IF($C13="","",IF($F13&lt;&gt;"",$F13,$E13))</f>
        <v/>
      </c>
      <c r="H13" s="82">
        <f>IF($B13="","",TEXT($B13,"mmm yyyy"))</f>
        <v/>
      </c>
    </row>
    <row r="14" ht="18" customHeight="1">
      <c r="A14" s="10" t="n"/>
      <c r="B14" s="109" t="n"/>
      <c r="C14" s="84" t="n"/>
      <c r="D14" s="52" t="n"/>
      <c r="E14" s="101">
        <f>IF($C14="","",IFERROR(LOOKUP(2,1/((ISNUMBER(SEARCH('Category Rules'!$B$6:$B$75,$C14)))*('Category Rules'!$B$6:$B$75&lt;&gt;"")),'Category Rules'!$C$6:$C$75),"Uncategorized"))</f>
        <v/>
      </c>
      <c r="F14" s="108" t="n"/>
      <c r="G14" s="103">
        <f>IF($C14="","",IF($F14&lt;&gt;"",$F14,$E14))</f>
        <v/>
      </c>
      <c r="H14" s="85">
        <f>IF($B14="","",TEXT($B14,"mmm yyyy"))</f>
        <v/>
      </c>
    </row>
    <row r="15" ht="18" customHeight="1">
      <c r="A15" s="14" t="n"/>
      <c r="B15" s="107" t="n"/>
      <c r="C15" s="81" t="n"/>
      <c r="D15" s="59" t="n"/>
      <c r="E15" s="104">
        <f>IF($C15="","",IFERROR(LOOKUP(2,1/((ISNUMBER(SEARCH('Category Rules'!$B$6:$B$75,$C15)))*('Category Rules'!$B$6:$B$75&lt;&gt;"")),'Category Rules'!$C$6:$C$75),"Uncategorized"))</f>
        <v/>
      </c>
      <c r="F15" s="108" t="n"/>
      <c r="G15" s="106">
        <f>IF($C15="","",IF($F15&lt;&gt;"",$F15,$E15))</f>
        <v/>
      </c>
      <c r="H15" s="82">
        <f>IF($B15="","",TEXT($B15,"mmm yyyy"))</f>
        <v/>
      </c>
    </row>
    <row r="16" ht="18" customHeight="1">
      <c r="A16" s="10" t="n"/>
      <c r="B16" s="109" t="n"/>
      <c r="C16" s="84" t="n"/>
      <c r="D16" s="52" t="n"/>
      <c r="E16" s="101">
        <f>IF($C16="","",IFERROR(LOOKUP(2,1/((ISNUMBER(SEARCH('Category Rules'!$B$6:$B$75,$C16)))*('Category Rules'!$B$6:$B$75&lt;&gt;"")),'Category Rules'!$C$6:$C$75),"Uncategorized"))</f>
        <v/>
      </c>
      <c r="F16" s="108" t="n"/>
      <c r="G16" s="103">
        <f>IF($C16="","",IF($F16&lt;&gt;"",$F16,$E16))</f>
        <v/>
      </c>
      <c r="H16" s="85">
        <f>IF($B16="","",TEXT($B16,"mmm yyyy"))</f>
        <v/>
      </c>
    </row>
    <row r="17" ht="18" customHeight="1">
      <c r="A17" s="14" t="n"/>
      <c r="B17" s="107" t="n"/>
      <c r="C17" s="81" t="n"/>
      <c r="D17" s="59" t="n"/>
      <c r="E17" s="104">
        <f>IF($C17="","",IFERROR(LOOKUP(2,1/((ISNUMBER(SEARCH('Category Rules'!$B$6:$B$75,$C17)))*('Category Rules'!$B$6:$B$75&lt;&gt;"")),'Category Rules'!$C$6:$C$75),"Uncategorized"))</f>
        <v/>
      </c>
      <c r="F17" s="108" t="n"/>
      <c r="G17" s="106">
        <f>IF($C17="","",IF($F17&lt;&gt;"",$F17,$E17))</f>
        <v/>
      </c>
      <c r="H17" s="82">
        <f>IF($B17="","",TEXT($B17,"mmm yyyy"))</f>
        <v/>
      </c>
    </row>
    <row r="18" ht="18" customHeight="1">
      <c r="A18" s="10" t="n"/>
      <c r="B18" s="109" t="n"/>
      <c r="C18" s="84" t="n"/>
      <c r="D18" s="52" t="n"/>
      <c r="E18" s="101">
        <f>IF($C18="","",IFERROR(LOOKUP(2,1/((ISNUMBER(SEARCH('Category Rules'!$B$6:$B$75,$C18)))*('Category Rules'!$B$6:$B$75&lt;&gt;"")),'Category Rules'!$C$6:$C$75),"Uncategorized"))</f>
        <v/>
      </c>
      <c r="F18" s="108" t="n"/>
      <c r="G18" s="103">
        <f>IF($C18="","",IF($F18&lt;&gt;"",$F18,$E18))</f>
        <v/>
      </c>
      <c r="H18" s="85">
        <f>IF($B18="","",TEXT($B18,"mmm yyyy"))</f>
        <v/>
      </c>
    </row>
    <row r="19" ht="18" customHeight="1">
      <c r="A19" s="14" t="n"/>
      <c r="B19" s="107" t="n"/>
      <c r="C19" s="81" t="n"/>
      <c r="D19" s="59" t="n"/>
      <c r="E19" s="104">
        <f>IF($C19="","",IFERROR(LOOKUP(2,1/((ISNUMBER(SEARCH('Category Rules'!$B$6:$B$75,$C19)))*('Category Rules'!$B$6:$B$75&lt;&gt;"")),'Category Rules'!$C$6:$C$75),"Uncategorized"))</f>
        <v/>
      </c>
      <c r="F19" s="108" t="n"/>
      <c r="G19" s="106">
        <f>IF($C19="","",IF($F19&lt;&gt;"",$F19,$E19))</f>
        <v/>
      </c>
      <c r="H19" s="82">
        <f>IF($B19="","",TEXT($B19,"mmm yyyy"))</f>
        <v/>
      </c>
    </row>
    <row r="20" ht="18" customHeight="1">
      <c r="A20" s="10" t="n"/>
      <c r="B20" s="109" t="n"/>
      <c r="C20" s="84" t="n"/>
      <c r="D20" s="52" t="n"/>
      <c r="E20" s="101">
        <f>IF($C20="","",IFERROR(LOOKUP(2,1/((ISNUMBER(SEARCH('Category Rules'!$B$6:$B$75,$C20)))*('Category Rules'!$B$6:$B$75&lt;&gt;"")),'Category Rules'!$C$6:$C$75),"Uncategorized"))</f>
        <v/>
      </c>
      <c r="F20" s="108" t="n"/>
      <c r="G20" s="103">
        <f>IF($C20="","",IF($F20&lt;&gt;"",$F20,$E20))</f>
        <v/>
      </c>
      <c r="H20" s="85">
        <f>IF($B20="","",TEXT($B20,"mmm yyyy"))</f>
        <v/>
      </c>
    </row>
    <row r="21" ht="18" customHeight="1">
      <c r="A21" s="14" t="n"/>
      <c r="B21" s="107" t="n"/>
      <c r="C21" s="81" t="n"/>
      <c r="D21" s="59" t="n"/>
      <c r="E21" s="104">
        <f>IF($C21="","",IFERROR(LOOKUP(2,1/((ISNUMBER(SEARCH('Category Rules'!$B$6:$B$75,$C21)))*('Category Rules'!$B$6:$B$75&lt;&gt;"")),'Category Rules'!$C$6:$C$75),"Uncategorized"))</f>
        <v/>
      </c>
      <c r="F21" s="108" t="n"/>
      <c r="G21" s="106">
        <f>IF($C21="","",IF($F21&lt;&gt;"",$F21,$E21))</f>
        <v/>
      </c>
      <c r="H21" s="82">
        <f>IF($B21="","",TEXT($B21,"mmm yyyy"))</f>
        <v/>
      </c>
    </row>
    <row r="22" ht="18" customHeight="1">
      <c r="A22" s="10" t="n"/>
      <c r="B22" s="109" t="n"/>
      <c r="C22" s="84" t="n"/>
      <c r="D22" s="52" t="n"/>
      <c r="E22" s="101">
        <f>IF($C22="","",IFERROR(LOOKUP(2,1/((ISNUMBER(SEARCH('Category Rules'!$B$6:$B$75,$C22)))*('Category Rules'!$B$6:$B$75&lt;&gt;"")),'Category Rules'!$C$6:$C$75),"Uncategorized"))</f>
        <v/>
      </c>
      <c r="F22" s="108" t="n"/>
      <c r="G22" s="103">
        <f>IF($C22="","",IF($F22&lt;&gt;"",$F22,$E22))</f>
        <v/>
      </c>
      <c r="H22" s="85">
        <f>IF($B22="","",TEXT($B22,"mmm yyyy"))</f>
        <v/>
      </c>
    </row>
    <row r="23" ht="18" customHeight="1">
      <c r="A23" s="14" t="n"/>
      <c r="B23" s="107" t="n"/>
      <c r="C23" s="81" t="n"/>
      <c r="D23" s="59" t="n"/>
      <c r="E23" s="104">
        <f>IF($C23="","",IFERROR(LOOKUP(2,1/((ISNUMBER(SEARCH('Category Rules'!$B$6:$B$75,$C23)))*('Category Rules'!$B$6:$B$75&lt;&gt;"")),'Category Rules'!$C$6:$C$75),"Uncategorized"))</f>
        <v/>
      </c>
      <c r="F23" s="108" t="n"/>
      <c r="G23" s="106">
        <f>IF($C23="","",IF($F23&lt;&gt;"",$F23,$E23))</f>
        <v/>
      </c>
      <c r="H23" s="82">
        <f>IF($B23="","",TEXT($B23,"mmm yyyy"))</f>
        <v/>
      </c>
    </row>
    <row r="24" ht="18" customHeight="1">
      <c r="A24" s="10" t="n"/>
      <c r="B24" s="109" t="n"/>
      <c r="C24" s="84" t="n"/>
      <c r="D24" s="52" t="n"/>
      <c r="E24" s="101">
        <f>IF($C24="","",IFERROR(LOOKUP(2,1/((ISNUMBER(SEARCH('Category Rules'!$B$6:$B$75,$C24)))*('Category Rules'!$B$6:$B$75&lt;&gt;"")),'Category Rules'!$C$6:$C$75),"Uncategorized"))</f>
        <v/>
      </c>
      <c r="F24" s="108" t="n"/>
      <c r="G24" s="103">
        <f>IF($C24="","",IF($F24&lt;&gt;"",$F24,$E24))</f>
        <v/>
      </c>
      <c r="H24" s="85">
        <f>IF($B24="","",TEXT($B24,"mmm yyyy"))</f>
        <v/>
      </c>
    </row>
    <row r="25" ht="18" customHeight="1">
      <c r="A25" s="14" t="n"/>
      <c r="B25" s="107" t="n"/>
      <c r="C25" s="81" t="n"/>
      <c r="D25" s="59" t="n"/>
      <c r="E25" s="104">
        <f>IF($C25="","",IFERROR(LOOKUP(2,1/((ISNUMBER(SEARCH('Category Rules'!$B$6:$B$75,$C25)))*('Category Rules'!$B$6:$B$75&lt;&gt;"")),'Category Rules'!$C$6:$C$75),"Uncategorized"))</f>
        <v/>
      </c>
      <c r="F25" s="108" t="n"/>
      <c r="G25" s="106">
        <f>IF($C25="","",IF($F25&lt;&gt;"",$F25,$E25))</f>
        <v/>
      </c>
      <c r="H25" s="82">
        <f>IF($B25="","",TEXT($B25,"mmm yyyy"))</f>
        <v/>
      </c>
    </row>
    <row r="26" ht="18" customHeight="1">
      <c r="A26" s="10" t="n"/>
      <c r="B26" s="109" t="n"/>
      <c r="C26" s="84" t="n"/>
      <c r="D26" s="52" t="n"/>
      <c r="E26" s="101">
        <f>IF($C26="","",IFERROR(LOOKUP(2,1/((ISNUMBER(SEARCH('Category Rules'!$B$6:$B$75,$C26)))*('Category Rules'!$B$6:$B$75&lt;&gt;"")),'Category Rules'!$C$6:$C$75),"Uncategorized"))</f>
        <v/>
      </c>
      <c r="F26" s="108" t="n"/>
      <c r="G26" s="103">
        <f>IF($C26="","",IF($F26&lt;&gt;"",$F26,$E26))</f>
        <v/>
      </c>
      <c r="H26" s="85">
        <f>IF($B26="","",TEXT($B26,"mmm yyyy"))</f>
        <v/>
      </c>
    </row>
    <row r="27" ht="18" customHeight="1">
      <c r="A27" s="14" t="n"/>
      <c r="B27" s="107" t="n"/>
      <c r="C27" s="81" t="n"/>
      <c r="D27" s="59" t="n"/>
      <c r="E27" s="104">
        <f>IF($C27="","",IFERROR(LOOKUP(2,1/((ISNUMBER(SEARCH('Category Rules'!$B$6:$B$75,$C27)))*('Category Rules'!$B$6:$B$75&lt;&gt;"")),'Category Rules'!$C$6:$C$75),"Uncategorized"))</f>
        <v/>
      </c>
      <c r="F27" s="108" t="n"/>
      <c r="G27" s="106">
        <f>IF($C27="","",IF($F27&lt;&gt;"",$F27,$E27))</f>
        <v/>
      </c>
      <c r="H27" s="82">
        <f>IF($B27="","",TEXT($B27,"mmm yyyy"))</f>
        <v/>
      </c>
    </row>
    <row r="28" ht="18" customHeight="1">
      <c r="A28" s="10" t="n"/>
      <c r="B28" s="109" t="n"/>
      <c r="C28" s="84" t="n"/>
      <c r="D28" s="52" t="n"/>
      <c r="E28" s="101">
        <f>IF($C28="","",IFERROR(LOOKUP(2,1/((ISNUMBER(SEARCH('Category Rules'!$B$6:$B$75,$C28)))*('Category Rules'!$B$6:$B$75&lt;&gt;"")),'Category Rules'!$C$6:$C$75),"Uncategorized"))</f>
        <v/>
      </c>
      <c r="F28" s="108" t="n"/>
      <c r="G28" s="103">
        <f>IF($C28="","",IF($F28&lt;&gt;"",$F28,$E28))</f>
        <v/>
      </c>
      <c r="H28" s="85">
        <f>IF($B28="","",TEXT($B28,"mmm yyyy"))</f>
        <v/>
      </c>
    </row>
    <row r="29" ht="18" customHeight="1">
      <c r="A29" s="14" t="n"/>
      <c r="B29" s="107" t="n"/>
      <c r="C29" s="81" t="n"/>
      <c r="D29" s="59" t="n"/>
      <c r="E29" s="104">
        <f>IF($C29="","",IFERROR(LOOKUP(2,1/((ISNUMBER(SEARCH('Category Rules'!$B$6:$B$75,$C29)))*('Category Rules'!$B$6:$B$75&lt;&gt;"")),'Category Rules'!$C$6:$C$75),"Uncategorized"))</f>
        <v/>
      </c>
      <c r="F29" s="108" t="n"/>
      <c r="G29" s="106">
        <f>IF($C29="","",IF($F29&lt;&gt;"",$F29,$E29))</f>
        <v/>
      </c>
      <c r="H29" s="82">
        <f>IF($B29="","",TEXT($B29,"mmm yyyy"))</f>
        <v/>
      </c>
    </row>
    <row r="30" ht="18" customHeight="1">
      <c r="A30" s="10" t="n"/>
      <c r="B30" s="109" t="n"/>
      <c r="C30" s="84" t="n"/>
      <c r="D30" s="52" t="n"/>
      <c r="E30" s="101">
        <f>IF($C30="","",IFERROR(LOOKUP(2,1/((ISNUMBER(SEARCH('Category Rules'!$B$6:$B$75,$C30)))*('Category Rules'!$B$6:$B$75&lt;&gt;"")),'Category Rules'!$C$6:$C$75),"Uncategorized"))</f>
        <v/>
      </c>
      <c r="F30" s="108" t="n"/>
      <c r="G30" s="103">
        <f>IF($C30="","",IF($F30&lt;&gt;"",$F30,$E30))</f>
        <v/>
      </c>
      <c r="H30" s="85">
        <f>IF($B30="","",TEXT($B30,"mmm yyyy"))</f>
        <v/>
      </c>
    </row>
    <row r="31" ht="18" customHeight="1">
      <c r="A31" s="14" t="n"/>
      <c r="B31" s="107" t="n"/>
      <c r="C31" s="81" t="n"/>
      <c r="D31" s="59" t="n"/>
      <c r="E31" s="104">
        <f>IF($C31="","",IFERROR(LOOKUP(2,1/((ISNUMBER(SEARCH('Category Rules'!$B$6:$B$75,$C31)))*('Category Rules'!$B$6:$B$75&lt;&gt;"")),'Category Rules'!$C$6:$C$75),"Uncategorized"))</f>
        <v/>
      </c>
      <c r="F31" s="108" t="n"/>
      <c r="G31" s="106">
        <f>IF($C31="","",IF($F31&lt;&gt;"",$F31,$E31))</f>
        <v/>
      </c>
      <c r="H31" s="82">
        <f>IF($B31="","",TEXT($B31,"mmm yyyy"))</f>
        <v/>
      </c>
    </row>
    <row r="32" ht="18" customHeight="1">
      <c r="A32" s="10" t="n"/>
      <c r="B32" s="109" t="n"/>
      <c r="C32" s="84" t="n"/>
      <c r="D32" s="52" t="n"/>
      <c r="E32" s="101">
        <f>IF($C32="","",IFERROR(LOOKUP(2,1/((ISNUMBER(SEARCH('Category Rules'!$B$6:$B$75,$C32)))*('Category Rules'!$B$6:$B$75&lt;&gt;"")),'Category Rules'!$C$6:$C$75),"Uncategorized"))</f>
        <v/>
      </c>
      <c r="F32" s="108" t="n"/>
      <c r="G32" s="103">
        <f>IF($C32="","",IF($F32&lt;&gt;"",$F32,$E32))</f>
        <v/>
      </c>
      <c r="H32" s="85">
        <f>IF($B32="","",TEXT($B32,"mmm yyyy"))</f>
        <v/>
      </c>
    </row>
    <row r="33" ht="18" customHeight="1">
      <c r="A33" s="14" t="n"/>
      <c r="B33" s="107" t="n"/>
      <c r="C33" s="81" t="n"/>
      <c r="D33" s="59" t="n"/>
      <c r="E33" s="104">
        <f>IF($C33="","",IFERROR(LOOKUP(2,1/((ISNUMBER(SEARCH('Category Rules'!$B$6:$B$75,$C33)))*('Category Rules'!$B$6:$B$75&lt;&gt;"")),'Category Rules'!$C$6:$C$75),"Uncategorized"))</f>
        <v/>
      </c>
      <c r="F33" s="108" t="n"/>
      <c r="G33" s="106">
        <f>IF($C33="","",IF($F33&lt;&gt;"",$F33,$E33))</f>
        <v/>
      </c>
      <c r="H33" s="82">
        <f>IF($B33="","",TEXT($B33,"mmm yyyy"))</f>
        <v/>
      </c>
    </row>
    <row r="34" ht="18" customHeight="1">
      <c r="A34" s="10" t="n"/>
      <c r="B34" s="109" t="n"/>
      <c r="C34" s="84" t="n"/>
      <c r="D34" s="52" t="n"/>
      <c r="E34" s="101">
        <f>IF($C34="","",IFERROR(LOOKUP(2,1/((ISNUMBER(SEARCH('Category Rules'!$B$6:$B$75,$C34)))*('Category Rules'!$B$6:$B$75&lt;&gt;"")),'Category Rules'!$C$6:$C$75),"Uncategorized"))</f>
        <v/>
      </c>
      <c r="F34" s="108" t="n"/>
      <c r="G34" s="103">
        <f>IF($C34="","",IF($F34&lt;&gt;"",$F34,$E34))</f>
        <v/>
      </c>
      <c r="H34" s="85">
        <f>IF($B34="","",TEXT($B34,"mmm yyyy"))</f>
        <v/>
      </c>
    </row>
    <row r="35" ht="18" customHeight="1">
      <c r="A35" s="14" t="n"/>
      <c r="B35" s="107" t="n"/>
      <c r="C35" s="81" t="n"/>
      <c r="D35" s="59" t="n"/>
      <c r="E35" s="104">
        <f>IF($C35="","",IFERROR(LOOKUP(2,1/((ISNUMBER(SEARCH('Category Rules'!$B$6:$B$75,$C35)))*('Category Rules'!$B$6:$B$75&lt;&gt;"")),'Category Rules'!$C$6:$C$75),"Uncategorized"))</f>
        <v/>
      </c>
      <c r="F35" s="108" t="n"/>
      <c r="G35" s="106">
        <f>IF($C35="","",IF($F35&lt;&gt;"",$F35,$E35))</f>
        <v/>
      </c>
      <c r="H35" s="82">
        <f>IF($B35="","",TEXT($B35,"mmm yyyy"))</f>
        <v/>
      </c>
    </row>
    <row r="36" ht="18" customHeight="1">
      <c r="A36" s="10" t="n"/>
      <c r="B36" s="109" t="n"/>
      <c r="C36" s="84" t="n"/>
      <c r="D36" s="52" t="n"/>
      <c r="E36" s="101">
        <f>IF($C36="","",IFERROR(LOOKUP(2,1/((ISNUMBER(SEARCH('Category Rules'!$B$6:$B$75,$C36)))*('Category Rules'!$B$6:$B$75&lt;&gt;"")),'Category Rules'!$C$6:$C$75),"Uncategorized"))</f>
        <v/>
      </c>
      <c r="F36" s="108" t="n"/>
      <c r="G36" s="103">
        <f>IF($C36="","",IF($F36&lt;&gt;"",$F36,$E36))</f>
        <v/>
      </c>
      <c r="H36" s="85">
        <f>IF($B36="","",TEXT($B36,"mmm yyyy"))</f>
        <v/>
      </c>
    </row>
    <row r="37" ht="18" customHeight="1">
      <c r="A37" s="14" t="n"/>
      <c r="B37" s="107" t="n"/>
      <c r="C37" s="81" t="n"/>
      <c r="D37" s="59" t="n"/>
      <c r="E37" s="104">
        <f>IF($C37="","",IFERROR(LOOKUP(2,1/((ISNUMBER(SEARCH('Category Rules'!$B$6:$B$75,$C37)))*('Category Rules'!$B$6:$B$75&lt;&gt;"")),'Category Rules'!$C$6:$C$75),"Uncategorized"))</f>
        <v/>
      </c>
      <c r="F37" s="108" t="n"/>
      <c r="G37" s="106">
        <f>IF($C37="","",IF($F37&lt;&gt;"",$F37,$E37))</f>
        <v/>
      </c>
      <c r="H37" s="82">
        <f>IF($B37="","",TEXT($B37,"mmm yyyy"))</f>
        <v/>
      </c>
    </row>
    <row r="38" ht="18" customHeight="1">
      <c r="A38" s="10" t="n"/>
      <c r="B38" s="109" t="n"/>
      <c r="C38" s="84" t="n"/>
      <c r="D38" s="52" t="n"/>
      <c r="E38" s="101">
        <f>IF($C38="","",IFERROR(LOOKUP(2,1/((ISNUMBER(SEARCH('Category Rules'!$B$6:$B$75,$C38)))*('Category Rules'!$B$6:$B$75&lt;&gt;"")),'Category Rules'!$C$6:$C$75),"Uncategorized"))</f>
        <v/>
      </c>
      <c r="F38" s="108" t="n"/>
      <c r="G38" s="103">
        <f>IF($C38="","",IF($F38&lt;&gt;"",$F38,$E38))</f>
        <v/>
      </c>
      <c r="H38" s="85">
        <f>IF($B38="","",TEXT($B38,"mmm yyyy"))</f>
        <v/>
      </c>
    </row>
    <row r="39" ht="18" customHeight="1">
      <c r="A39" s="14" t="n"/>
      <c r="B39" s="107" t="n"/>
      <c r="C39" s="81" t="n"/>
      <c r="D39" s="59" t="n"/>
      <c r="E39" s="104">
        <f>IF($C39="","",IFERROR(LOOKUP(2,1/((ISNUMBER(SEARCH('Category Rules'!$B$6:$B$75,$C39)))*('Category Rules'!$B$6:$B$75&lt;&gt;"")),'Category Rules'!$C$6:$C$75),"Uncategorized"))</f>
        <v/>
      </c>
      <c r="F39" s="108" t="n"/>
      <c r="G39" s="106">
        <f>IF($C39="","",IF($F39&lt;&gt;"",$F39,$E39))</f>
        <v/>
      </c>
      <c r="H39" s="82">
        <f>IF($B39="","",TEXT($B39,"mmm yyyy"))</f>
        <v/>
      </c>
    </row>
    <row r="40" ht="18" customHeight="1">
      <c r="A40" s="10" t="n"/>
      <c r="B40" s="109" t="n"/>
      <c r="C40" s="84" t="n"/>
      <c r="D40" s="52" t="n"/>
      <c r="E40" s="101">
        <f>IF($C40="","",IFERROR(LOOKUP(2,1/((ISNUMBER(SEARCH('Category Rules'!$B$6:$B$75,$C40)))*('Category Rules'!$B$6:$B$75&lt;&gt;"")),'Category Rules'!$C$6:$C$75),"Uncategorized"))</f>
        <v/>
      </c>
      <c r="F40" s="108" t="n"/>
      <c r="G40" s="103">
        <f>IF($C40="","",IF($F40&lt;&gt;"",$F40,$E40))</f>
        <v/>
      </c>
      <c r="H40" s="85">
        <f>IF($B40="","",TEXT($B40,"mmm yyyy"))</f>
        <v/>
      </c>
    </row>
    <row r="41" ht="18" customHeight="1">
      <c r="A41" s="14" t="n"/>
      <c r="B41" s="107" t="n"/>
      <c r="C41" s="81" t="n"/>
      <c r="D41" s="59" t="n"/>
      <c r="E41" s="104">
        <f>IF($C41="","",IFERROR(LOOKUP(2,1/((ISNUMBER(SEARCH('Category Rules'!$B$6:$B$75,$C41)))*('Category Rules'!$B$6:$B$75&lt;&gt;"")),'Category Rules'!$C$6:$C$75),"Uncategorized"))</f>
        <v/>
      </c>
      <c r="F41" s="108" t="n"/>
      <c r="G41" s="106">
        <f>IF($C41="","",IF($F41&lt;&gt;"",$F41,$E41))</f>
        <v/>
      </c>
      <c r="H41" s="82">
        <f>IF($B41="","",TEXT($B41,"mmm yyyy"))</f>
        <v/>
      </c>
    </row>
    <row r="42" ht="18" customHeight="1">
      <c r="A42" s="10" t="n"/>
      <c r="B42" s="109" t="n"/>
      <c r="C42" s="84" t="n"/>
      <c r="D42" s="52" t="n"/>
      <c r="E42" s="101">
        <f>IF($C42="","",IFERROR(LOOKUP(2,1/((ISNUMBER(SEARCH('Category Rules'!$B$6:$B$75,$C42)))*('Category Rules'!$B$6:$B$75&lt;&gt;"")),'Category Rules'!$C$6:$C$75),"Uncategorized"))</f>
        <v/>
      </c>
      <c r="F42" s="108" t="n"/>
      <c r="G42" s="103">
        <f>IF($C42="","",IF($F42&lt;&gt;"",$F42,$E42))</f>
        <v/>
      </c>
      <c r="H42" s="85">
        <f>IF($B42="","",TEXT($B42,"mmm yyyy"))</f>
        <v/>
      </c>
    </row>
    <row r="43" ht="18" customHeight="1">
      <c r="A43" s="14" t="n"/>
      <c r="B43" s="107" t="n"/>
      <c r="C43" s="81" t="n"/>
      <c r="D43" s="59" t="n"/>
      <c r="E43" s="104">
        <f>IF($C43="","",IFERROR(LOOKUP(2,1/((ISNUMBER(SEARCH('Category Rules'!$B$6:$B$75,$C43)))*('Category Rules'!$B$6:$B$75&lt;&gt;"")),'Category Rules'!$C$6:$C$75),"Uncategorized"))</f>
        <v/>
      </c>
      <c r="F43" s="108" t="n"/>
      <c r="G43" s="106">
        <f>IF($C43="","",IF($F43&lt;&gt;"",$F43,$E43))</f>
        <v/>
      </c>
      <c r="H43" s="82">
        <f>IF($B43="","",TEXT($B43,"mmm yyyy"))</f>
        <v/>
      </c>
    </row>
    <row r="44" ht="18" customHeight="1">
      <c r="A44" s="10" t="n"/>
      <c r="B44" s="109" t="n"/>
      <c r="C44" s="84" t="n"/>
      <c r="D44" s="52" t="n"/>
      <c r="E44" s="101">
        <f>IF($C44="","",IFERROR(LOOKUP(2,1/((ISNUMBER(SEARCH('Category Rules'!$B$6:$B$75,$C44)))*('Category Rules'!$B$6:$B$75&lt;&gt;"")),'Category Rules'!$C$6:$C$75),"Uncategorized"))</f>
        <v/>
      </c>
      <c r="F44" s="108" t="n"/>
      <c r="G44" s="103">
        <f>IF($C44="","",IF($F44&lt;&gt;"",$F44,$E44))</f>
        <v/>
      </c>
      <c r="H44" s="85">
        <f>IF($B44="","",TEXT($B44,"mmm yyyy"))</f>
        <v/>
      </c>
    </row>
    <row r="45" ht="18" customHeight="1">
      <c r="A45" s="14" t="n"/>
      <c r="B45" s="107" t="n"/>
      <c r="C45" s="81" t="n"/>
      <c r="D45" s="59" t="n"/>
      <c r="E45" s="104">
        <f>IF($C45="","",IFERROR(LOOKUP(2,1/((ISNUMBER(SEARCH('Category Rules'!$B$6:$B$75,$C45)))*('Category Rules'!$B$6:$B$75&lt;&gt;"")),'Category Rules'!$C$6:$C$75),"Uncategorized"))</f>
        <v/>
      </c>
      <c r="F45" s="108" t="n"/>
      <c r="G45" s="106">
        <f>IF($C45="","",IF($F45&lt;&gt;"",$F45,$E45))</f>
        <v/>
      </c>
      <c r="H45" s="82">
        <f>IF($B45="","",TEXT($B45,"mmm yyyy"))</f>
        <v/>
      </c>
    </row>
    <row r="46" ht="18" customHeight="1">
      <c r="A46" s="10" t="n"/>
      <c r="B46" s="109" t="n"/>
      <c r="C46" s="84" t="n"/>
      <c r="D46" s="52" t="n"/>
      <c r="E46" s="101">
        <f>IF($C46="","",IFERROR(LOOKUP(2,1/((ISNUMBER(SEARCH('Category Rules'!$B$6:$B$75,$C46)))*('Category Rules'!$B$6:$B$75&lt;&gt;"")),'Category Rules'!$C$6:$C$75),"Uncategorized"))</f>
        <v/>
      </c>
      <c r="F46" s="108" t="n"/>
      <c r="G46" s="103">
        <f>IF($C46="","",IF($F46&lt;&gt;"",$F46,$E46))</f>
        <v/>
      </c>
      <c r="H46" s="85">
        <f>IF($B46="","",TEXT($B46,"mmm yyyy"))</f>
        <v/>
      </c>
    </row>
    <row r="47" ht="18" customHeight="1">
      <c r="A47" s="14" t="n"/>
      <c r="B47" s="107" t="n"/>
      <c r="C47" s="81" t="n"/>
      <c r="D47" s="59" t="n"/>
      <c r="E47" s="104">
        <f>IF($C47="","",IFERROR(LOOKUP(2,1/((ISNUMBER(SEARCH('Category Rules'!$B$6:$B$75,$C47)))*('Category Rules'!$B$6:$B$75&lt;&gt;"")),'Category Rules'!$C$6:$C$75),"Uncategorized"))</f>
        <v/>
      </c>
      <c r="F47" s="108" t="n"/>
      <c r="G47" s="106">
        <f>IF($C47="","",IF($F47&lt;&gt;"",$F47,$E47))</f>
        <v/>
      </c>
      <c r="H47" s="82">
        <f>IF($B47="","",TEXT($B47,"mmm yyyy"))</f>
        <v/>
      </c>
    </row>
    <row r="48" ht="18" customHeight="1">
      <c r="A48" s="10" t="n"/>
      <c r="B48" s="109" t="n"/>
      <c r="C48" s="84" t="n"/>
      <c r="D48" s="52" t="n"/>
      <c r="E48" s="101">
        <f>IF($C48="","",IFERROR(LOOKUP(2,1/((ISNUMBER(SEARCH('Category Rules'!$B$6:$B$75,$C48)))*('Category Rules'!$B$6:$B$75&lt;&gt;"")),'Category Rules'!$C$6:$C$75),"Uncategorized"))</f>
        <v/>
      </c>
      <c r="F48" s="108" t="n"/>
      <c r="G48" s="103">
        <f>IF($C48="","",IF($F48&lt;&gt;"",$F48,$E48))</f>
        <v/>
      </c>
      <c r="H48" s="85">
        <f>IF($B48="","",TEXT($B48,"mmm yyyy"))</f>
        <v/>
      </c>
    </row>
    <row r="49" ht="18" customHeight="1">
      <c r="A49" s="14" t="n"/>
      <c r="B49" s="107" t="n"/>
      <c r="C49" s="81" t="n"/>
      <c r="D49" s="59" t="n"/>
      <c r="E49" s="104">
        <f>IF($C49="","",IFERROR(LOOKUP(2,1/((ISNUMBER(SEARCH('Category Rules'!$B$6:$B$75,$C49)))*('Category Rules'!$B$6:$B$75&lt;&gt;"")),'Category Rules'!$C$6:$C$75),"Uncategorized"))</f>
        <v/>
      </c>
      <c r="F49" s="108" t="n"/>
      <c r="G49" s="106">
        <f>IF($C49="","",IF($F49&lt;&gt;"",$F49,$E49))</f>
        <v/>
      </c>
      <c r="H49" s="82">
        <f>IF($B49="","",TEXT($B49,"mmm yyyy"))</f>
        <v/>
      </c>
    </row>
    <row r="50" ht="18" customHeight="1">
      <c r="A50" s="10" t="n"/>
      <c r="B50" s="109" t="n"/>
      <c r="C50" s="84" t="n"/>
      <c r="D50" s="52" t="n"/>
      <c r="E50" s="101">
        <f>IF($C50="","",IFERROR(LOOKUP(2,1/((ISNUMBER(SEARCH('Category Rules'!$B$6:$B$75,$C50)))*('Category Rules'!$B$6:$B$75&lt;&gt;"")),'Category Rules'!$C$6:$C$75),"Uncategorized"))</f>
        <v/>
      </c>
      <c r="F50" s="108" t="n"/>
      <c r="G50" s="103">
        <f>IF($C50="","",IF($F50&lt;&gt;"",$F50,$E50))</f>
        <v/>
      </c>
      <c r="H50" s="85">
        <f>IF($B50="","",TEXT($B50,"mmm yyyy"))</f>
        <v/>
      </c>
    </row>
    <row r="51" ht="18" customHeight="1">
      <c r="A51" s="14" t="n"/>
      <c r="B51" s="107" t="n"/>
      <c r="C51" s="81" t="n"/>
      <c r="D51" s="59" t="n"/>
      <c r="E51" s="104">
        <f>IF($C51="","",IFERROR(LOOKUP(2,1/((ISNUMBER(SEARCH('Category Rules'!$B$6:$B$75,$C51)))*('Category Rules'!$B$6:$B$75&lt;&gt;"")),'Category Rules'!$C$6:$C$75),"Uncategorized"))</f>
        <v/>
      </c>
      <c r="F51" s="108" t="n"/>
      <c r="G51" s="106">
        <f>IF($C51="","",IF($F51&lt;&gt;"",$F51,$E51))</f>
        <v/>
      </c>
      <c r="H51" s="82">
        <f>IF($B51="","",TEXT($B51,"mmm yyyy"))</f>
        <v/>
      </c>
    </row>
    <row r="52" ht="18" customHeight="1">
      <c r="A52" s="10" t="n"/>
      <c r="B52" s="109" t="n"/>
      <c r="C52" s="84" t="n"/>
      <c r="D52" s="52" t="n"/>
      <c r="E52" s="101">
        <f>IF($C52="","",IFERROR(LOOKUP(2,1/((ISNUMBER(SEARCH('Category Rules'!$B$6:$B$75,$C52)))*('Category Rules'!$B$6:$B$75&lt;&gt;"")),'Category Rules'!$C$6:$C$75),"Uncategorized"))</f>
        <v/>
      </c>
      <c r="F52" s="108" t="n"/>
      <c r="G52" s="103">
        <f>IF($C52="","",IF($F52&lt;&gt;"",$F52,$E52))</f>
        <v/>
      </c>
      <c r="H52" s="85">
        <f>IF($B52="","",TEXT($B52,"mmm yyyy"))</f>
        <v/>
      </c>
    </row>
    <row r="53" ht="18" customHeight="1">
      <c r="A53" s="14" t="n"/>
      <c r="B53" s="107" t="n"/>
      <c r="C53" s="81" t="n"/>
      <c r="D53" s="59" t="n"/>
      <c r="E53" s="104">
        <f>IF($C53="","",IFERROR(LOOKUP(2,1/((ISNUMBER(SEARCH('Category Rules'!$B$6:$B$75,$C53)))*('Category Rules'!$B$6:$B$75&lt;&gt;"")),'Category Rules'!$C$6:$C$75),"Uncategorized"))</f>
        <v/>
      </c>
      <c r="F53" s="108" t="n"/>
      <c r="G53" s="106">
        <f>IF($C53="","",IF($F53&lt;&gt;"",$F53,$E53))</f>
        <v/>
      </c>
      <c r="H53" s="82">
        <f>IF($B53="","",TEXT($B53,"mmm yyyy"))</f>
        <v/>
      </c>
    </row>
    <row r="54" ht="18" customHeight="1">
      <c r="A54" s="10" t="n"/>
      <c r="B54" s="109" t="n"/>
      <c r="C54" s="84" t="n"/>
      <c r="D54" s="52" t="n"/>
      <c r="E54" s="101">
        <f>IF($C54="","",IFERROR(LOOKUP(2,1/((ISNUMBER(SEARCH('Category Rules'!$B$6:$B$75,$C54)))*('Category Rules'!$B$6:$B$75&lt;&gt;"")),'Category Rules'!$C$6:$C$75),"Uncategorized"))</f>
        <v/>
      </c>
      <c r="F54" s="108" t="n"/>
      <c r="G54" s="103">
        <f>IF($C54="","",IF($F54&lt;&gt;"",$F54,$E54))</f>
        <v/>
      </c>
      <c r="H54" s="85">
        <f>IF($B54="","",TEXT($B54,"mmm yyyy"))</f>
        <v/>
      </c>
    </row>
    <row r="55" ht="18" customHeight="1">
      <c r="A55" s="14" t="n"/>
      <c r="B55" s="107" t="n"/>
      <c r="C55" s="81" t="n"/>
      <c r="D55" s="59" t="n"/>
      <c r="E55" s="104">
        <f>IF($C55="","",IFERROR(LOOKUP(2,1/((ISNUMBER(SEARCH('Category Rules'!$B$6:$B$75,$C55)))*('Category Rules'!$B$6:$B$75&lt;&gt;"")),'Category Rules'!$C$6:$C$75),"Uncategorized"))</f>
        <v/>
      </c>
      <c r="F55" s="108" t="n"/>
      <c r="G55" s="106">
        <f>IF($C55="","",IF($F55&lt;&gt;"",$F55,$E55))</f>
        <v/>
      </c>
      <c r="H55" s="82">
        <f>IF($B55="","",TEXT($B55,"mmm yyyy"))</f>
        <v/>
      </c>
    </row>
    <row r="56" ht="18" customHeight="1">
      <c r="A56" s="10" t="n"/>
      <c r="B56" s="109" t="n"/>
      <c r="C56" s="84" t="n"/>
      <c r="D56" s="52" t="n"/>
      <c r="E56" s="101">
        <f>IF($C56="","",IFERROR(LOOKUP(2,1/((ISNUMBER(SEARCH('Category Rules'!$B$6:$B$75,$C56)))*('Category Rules'!$B$6:$B$75&lt;&gt;"")),'Category Rules'!$C$6:$C$75),"Uncategorized"))</f>
        <v/>
      </c>
      <c r="F56" s="108" t="n"/>
      <c r="G56" s="103">
        <f>IF($C56="","",IF($F56&lt;&gt;"",$F56,$E56))</f>
        <v/>
      </c>
      <c r="H56" s="85">
        <f>IF($B56="","",TEXT($B56,"mmm yyyy"))</f>
        <v/>
      </c>
    </row>
    <row r="57" ht="18" customHeight="1">
      <c r="A57" s="14" t="n"/>
      <c r="B57" s="107" t="n"/>
      <c r="C57" s="81" t="n"/>
      <c r="D57" s="59" t="n"/>
      <c r="E57" s="104">
        <f>IF($C57="","",IFERROR(LOOKUP(2,1/((ISNUMBER(SEARCH('Category Rules'!$B$6:$B$75,$C57)))*('Category Rules'!$B$6:$B$75&lt;&gt;"")),'Category Rules'!$C$6:$C$75),"Uncategorized"))</f>
        <v/>
      </c>
      <c r="F57" s="108" t="n"/>
      <c r="G57" s="106">
        <f>IF($C57="","",IF($F57&lt;&gt;"",$F57,$E57))</f>
        <v/>
      </c>
      <c r="H57" s="82">
        <f>IF($B57="","",TEXT($B57,"mmm yyyy"))</f>
        <v/>
      </c>
    </row>
    <row r="58" ht="18" customHeight="1">
      <c r="A58" s="10" t="n"/>
      <c r="B58" s="109" t="n"/>
      <c r="C58" s="84" t="n"/>
      <c r="D58" s="52" t="n"/>
      <c r="E58" s="101">
        <f>IF($C58="","",IFERROR(LOOKUP(2,1/((ISNUMBER(SEARCH('Category Rules'!$B$6:$B$75,$C58)))*('Category Rules'!$B$6:$B$75&lt;&gt;"")),'Category Rules'!$C$6:$C$75),"Uncategorized"))</f>
        <v/>
      </c>
      <c r="F58" s="108" t="n"/>
      <c r="G58" s="103">
        <f>IF($C58="","",IF($F58&lt;&gt;"",$F58,$E58))</f>
        <v/>
      </c>
      <c r="H58" s="85">
        <f>IF($B58="","",TEXT($B58,"mmm yyyy"))</f>
        <v/>
      </c>
    </row>
    <row r="59" ht="18" customHeight="1">
      <c r="A59" s="14" t="n"/>
      <c r="B59" s="107" t="n"/>
      <c r="C59" s="81" t="n"/>
      <c r="D59" s="59" t="n"/>
      <c r="E59" s="104">
        <f>IF($C59="","",IFERROR(LOOKUP(2,1/((ISNUMBER(SEARCH('Category Rules'!$B$6:$B$75,$C59)))*('Category Rules'!$B$6:$B$75&lt;&gt;"")),'Category Rules'!$C$6:$C$75),"Uncategorized"))</f>
        <v/>
      </c>
      <c r="F59" s="108" t="n"/>
      <c r="G59" s="106">
        <f>IF($C59="","",IF($F59&lt;&gt;"",$F59,$E59))</f>
        <v/>
      </c>
      <c r="H59" s="82">
        <f>IF($B59="","",TEXT($B59,"mmm yyyy"))</f>
        <v/>
      </c>
    </row>
    <row r="60" ht="18" customHeight="1">
      <c r="A60" s="10" t="n"/>
      <c r="B60" s="109" t="n"/>
      <c r="C60" s="84" t="n"/>
      <c r="D60" s="52" t="n"/>
      <c r="E60" s="101">
        <f>IF($C60="","",IFERROR(LOOKUP(2,1/((ISNUMBER(SEARCH('Category Rules'!$B$6:$B$75,$C60)))*('Category Rules'!$B$6:$B$75&lt;&gt;"")),'Category Rules'!$C$6:$C$75),"Uncategorized"))</f>
        <v/>
      </c>
      <c r="F60" s="108" t="n"/>
      <c r="G60" s="103">
        <f>IF($C60="","",IF($F60&lt;&gt;"",$F60,$E60))</f>
        <v/>
      </c>
      <c r="H60" s="85">
        <f>IF($B60="","",TEXT($B60,"mmm yyyy"))</f>
        <v/>
      </c>
    </row>
    <row r="61" ht="18" customHeight="1">
      <c r="A61" s="14" t="n"/>
      <c r="B61" s="107" t="n"/>
      <c r="C61" s="81" t="n"/>
      <c r="D61" s="59" t="n"/>
      <c r="E61" s="104">
        <f>IF($C61="","",IFERROR(LOOKUP(2,1/((ISNUMBER(SEARCH('Category Rules'!$B$6:$B$75,$C61)))*('Category Rules'!$B$6:$B$75&lt;&gt;"")),'Category Rules'!$C$6:$C$75),"Uncategorized"))</f>
        <v/>
      </c>
      <c r="F61" s="108" t="n"/>
      <c r="G61" s="106">
        <f>IF($C61="","",IF($F61&lt;&gt;"",$F61,$E61))</f>
        <v/>
      </c>
      <c r="H61" s="82">
        <f>IF($B61="","",TEXT($B61,"mmm yyyy"))</f>
        <v/>
      </c>
    </row>
    <row r="62" ht="18" customHeight="1">
      <c r="A62" s="10" t="n"/>
      <c r="B62" s="109" t="n"/>
      <c r="C62" s="84" t="n"/>
      <c r="D62" s="52" t="n"/>
      <c r="E62" s="101">
        <f>IF($C62="","",IFERROR(LOOKUP(2,1/((ISNUMBER(SEARCH('Category Rules'!$B$6:$B$75,$C62)))*('Category Rules'!$B$6:$B$75&lt;&gt;"")),'Category Rules'!$C$6:$C$75),"Uncategorized"))</f>
        <v/>
      </c>
      <c r="F62" s="108" t="n"/>
      <c r="G62" s="103">
        <f>IF($C62="","",IF($F62&lt;&gt;"",$F62,$E62))</f>
        <v/>
      </c>
      <c r="H62" s="85">
        <f>IF($B62="","",TEXT($B62,"mmm yyyy"))</f>
        <v/>
      </c>
    </row>
    <row r="63" ht="18" customHeight="1">
      <c r="A63" s="14" t="n"/>
      <c r="B63" s="107" t="n"/>
      <c r="C63" s="81" t="n"/>
      <c r="D63" s="59" t="n"/>
      <c r="E63" s="104">
        <f>IF($C63="","",IFERROR(LOOKUP(2,1/((ISNUMBER(SEARCH('Category Rules'!$B$6:$B$75,$C63)))*('Category Rules'!$B$6:$B$75&lt;&gt;"")),'Category Rules'!$C$6:$C$75),"Uncategorized"))</f>
        <v/>
      </c>
      <c r="F63" s="108" t="n"/>
      <c r="G63" s="106">
        <f>IF($C63="","",IF($F63&lt;&gt;"",$F63,$E63))</f>
        <v/>
      </c>
      <c r="H63" s="82">
        <f>IF($B63="","",TEXT($B63,"mmm yyyy"))</f>
        <v/>
      </c>
    </row>
    <row r="64" ht="18" customHeight="1">
      <c r="A64" s="10" t="n"/>
      <c r="B64" s="109" t="n"/>
      <c r="C64" s="84" t="n"/>
      <c r="D64" s="52" t="n"/>
      <c r="E64" s="101">
        <f>IF($C64="","",IFERROR(LOOKUP(2,1/((ISNUMBER(SEARCH('Category Rules'!$B$6:$B$75,$C64)))*('Category Rules'!$B$6:$B$75&lt;&gt;"")),'Category Rules'!$C$6:$C$75),"Uncategorized"))</f>
        <v/>
      </c>
      <c r="F64" s="108" t="n"/>
      <c r="G64" s="103">
        <f>IF($C64="","",IF($F64&lt;&gt;"",$F64,$E64))</f>
        <v/>
      </c>
      <c r="H64" s="85">
        <f>IF($B64="","",TEXT($B64,"mmm yyyy"))</f>
        <v/>
      </c>
    </row>
    <row r="65" ht="18" customHeight="1">
      <c r="A65" s="14" t="n"/>
      <c r="B65" s="107" t="n"/>
      <c r="C65" s="81" t="n"/>
      <c r="D65" s="59" t="n"/>
      <c r="E65" s="104">
        <f>IF($C65="","",IFERROR(LOOKUP(2,1/((ISNUMBER(SEARCH('Category Rules'!$B$6:$B$75,$C65)))*('Category Rules'!$B$6:$B$75&lt;&gt;"")),'Category Rules'!$C$6:$C$75),"Uncategorized"))</f>
        <v/>
      </c>
      <c r="F65" s="108" t="n"/>
      <c r="G65" s="106">
        <f>IF($C65="","",IF($F65&lt;&gt;"",$F65,$E65))</f>
        <v/>
      </c>
      <c r="H65" s="82">
        <f>IF($B65="","",TEXT($B65,"mmm yyyy"))</f>
        <v/>
      </c>
    </row>
    <row r="66" ht="18" customHeight="1">
      <c r="A66" s="10" t="n"/>
      <c r="B66" s="109" t="n"/>
      <c r="C66" s="84" t="n"/>
      <c r="D66" s="52" t="n"/>
      <c r="E66" s="101">
        <f>IF($C66="","",IFERROR(LOOKUP(2,1/((ISNUMBER(SEARCH('Category Rules'!$B$6:$B$75,$C66)))*('Category Rules'!$B$6:$B$75&lt;&gt;"")),'Category Rules'!$C$6:$C$75),"Uncategorized"))</f>
        <v/>
      </c>
      <c r="F66" s="108" t="n"/>
      <c r="G66" s="103">
        <f>IF($C66="","",IF($F66&lt;&gt;"",$F66,$E66))</f>
        <v/>
      </c>
      <c r="H66" s="85">
        <f>IF($B66="","",TEXT($B66,"mmm yyyy"))</f>
        <v/>
      </c>
    </row>
    <row r="67" ht="18" customHeight="1">
      <c r="A67" s="14" t="n"/>
      <c r="B67" s="107" t="n"/>
      <c r="C67" s="81" t="n"/>
      <c r="D67" s="59" t="n"/>
      <c r="E67" s="104">
        <f>IF($C67="","",IFERROR(LOOKUP(2,1/((ISNUMBER(SEARCH('Category Rules'!$B$6:$B$75,$C67)))*('Category Rules'!$B$6:$B$75&lt;&gt;"")),'Category Rules'!$C$6:$C$75),"Uncategorized"))</f>
        <v/>
      </c>
      <c r="F67" s="108" t="n"/>
      <c r="G67" s="106">
        <f>IF($C67="","",IF($F67&lt;&gt;"",$F67,$E67))</f>
        <v/>
      </c>
      <c r="H67" s="82">
        <f>IF($B67="","",TEXT($B67,"mmm yyyy"))</f>
        <v/>
      </c>
    </row>
    <row r="68" ht="18" customHeight="1">
      <c r="A68" s="10" t="n"/>
      <c r="B68" s="109" t="n"/>
      <c r="C68" s="84" t="n"/>
      <c r="D68" s="52" t="n"/>
      <c r="E68" s="101">
        <f>IF($C68="","",IFERROR(LOOKUP(2,1/((ISNUMBER(SEARCH('Category Rules'!$B$6:$B$75,$C68)))*('Category Rules'!$B$6:$B$75&lt;&gt;"")),'Category Rules'!$C$6:$C$75),"Uncategorized"))</f>
        <v/>
      </c>
      <c r="F68" s="108" t="n"/>
      <c r="G68" s="103">
        <f>IF($C68="","",IF($F68&lt;&gt;"",$F68,$E68))</f>
        <v/>
      </c>
      <c r="H68" s="85">
        <f>IF($B68="","",TEXT($B68,"mmm yyyy"))</f>
        <v/>
      </c>
    </row>
    <row r="69" ht="18" customHeight="1">
      <c r="A69" s="14" t="n"/>
      <c r="B69" s="107" t="n"/>
      <c r="C69" s="81" t="n"/>
      <c r="D69" s="59" t="n"/>
      <c r="E69" s="104">
        <f>IF($C69="","",IFERROR(LOOKUP(2,1/((ISNUMBER(SEARCH('Category Rules'!$B$6:$B$75,$C69)))*('Category Rules'!$B$6:$B$75&lt;&gt;"")),'Category Rules'!$C$6:$C$75),"Uncategorized"))</f>
        <v/>
      </c>
      <c r="F69" s="108" t="n"/>
      <c r="G69" s="106">
        <f>IF($C69="","",IF($F69&lt;&gt;"",$F69,$E69))</f>
        <v/>
      </c>
      <c r="H69" s="82">
        <f>IF($B69="","",TEXT($B69,"mmm yyyy"))</f>
        <v/>
      </c>
    </row>
    <row r="70" ht="18" customHeight="1">
      <c r="A70" s="10" t="n"/>
      <c r="B70" s="109" t="n"/>
      <c r="C70" s="84" t="n"/>
      <c r="D70" s="52" t="n"/>
      <c r="E70" s="101">
        <f>IF($C70="","",IFERROR(LOOKUP(2,1/((ISNUMBER(SEARCH('Category Rules'!$B$6:$B$75,$C70)))*('Category Rules'!$B$6:$B$75&lt;&gt;"")),'Category Rules'!$C$6:$C$75),"Uncategorized"))</f>
        <v/>
      </c>
      <c r="F70" s="108" t="n"/>
      <c r="G70" s="103">
        <f>IF($C70="","",IF($F70&lt;&gt;"",$F70,$E70))</f>
        <v/>
      </c>
      <c r="H70" s="85">
        <f>IF($B70="","",TEXT($B70,"mmm yyyy"))</f>
        <v/>
      </c>
    </row>
    <row r="71" ht="18" customHeight="1">
      <c r="A71" s="14" t="n"/>
      <c r="B71" s="107" t="n"/>
      <c r="C71" s="81" t="n"/>
      <c r="D71" s="59" t="n"/>
      <c r="E71" s="104">
        <f>IF($C71="","",IFERROR(LOOKUP(2,1/((ISNUMBER(SEARCH('Category Rules'!$B$6:$B$75,$C71)))*('Category Rules'!$B$6:$B$75&lt;&gt;"")),'Category Rules'!$C$6:$C$75),"Uncategorized"))</f>
        <v/>
      </c>
      <c r="F71" s="108" t="n"/>
      <c r="G71" s="106">
        <f>IF($C71="","",IF($F71&lt;&gt;"",$F71,$E71))</f>
        <v/>
      </c>
      <c r="H71" s="82">
        <f>IF($B71="","",TEXT($B71,"mmm yyyy"))</f>
        <v/>
      </c>
    </row>
    <row r="72" ht="18" customHeight="1">
      <c r="A72" s="10" t="n"/>
      <c r="B72" s="109" t="n"/>
      <c r="C72" s="84" t="n"/>
      <c r="D72" s="52" t="n"/>
      <c r="E72" s="101">
        <f>IF($C72="","",IFERROR(LOOKUP(2,1/((ISNUMBER(SEARCH('Category Rules'!$B$6:$B$75,$C72)))*('Category Rules'!$B$6:$B$75&lt;&gt;"")),'Category Rules'!$C$6:$C$75),"Uncategorized"))</f>
        <v/>
      </c>
      <c r="F72" s="108" t="n"/>
      <c r="G72" s="103">
        <f>IF($C72="","",IF($F72&lt;&gt;"",$F72,$E72))</f>
        <v/>
      </c>
      <c r="H72" s="85">
        <f>IF($B72="","",TEXT($B72,"mmm yyyy"))</f>
        <v/>
      </c>
    </row>
    <row r="73" ht="18" customHeight="1">
      <c r="A73" s="14" t="n"/>
      <c r="B73" s="107" t="n"/>
      <c r="C73" s="81" t="n"/>
      <c r="D73" s="59" t="n"/>
      <c r="E73" s="104">
        <f>IF($C73="","",IFERROR(LOOKUP(2,1/((ISNUMBER(SEARCH('Category Rules'!$B$6:$B$75,$C73)))*('Category Rules'!$B$6:$B$75&lt;&gt;"")),'Category Rules'!$C$6:$C$75),"Uncategorized"))</f>
        <v/>
      </c>
      <c r="F73" s="108" t="n"/>
      <c r="G73" s="106">
        <f>IF($C73="","",IF($F73&lt;&gt;"",$F73,$E73))</f>
        <v/>
      </c>
      <c r="H73" s="82">
        <f>IF($B73="","",TEXT($B73,"mmm yyyy"))</f>
        <v/>
      </c>
    </row>
    <row r="74" ht="18" customHeight="1">
      <c r="A74" s="10" t="n"/>
      <c r="B74" s="109" t="n"/>
      <c r="C74" s="84" t="n"/>
      <c r="D74" s="52" t="n"/>
      <c r="E74" s="101">
        <f>IF($C74="","",IFERROR(LOOKUP(2,1/((ISNUMBER(SEARCH('Category Rules'!$B$6:$B$75,$C74)))*('Category Rules'!$B$6:$B$75&lt;&gt;"")),'Category Rules'!$C$6:$C$75),"Uncategorized"))</f>
        <v/>
      </c>
      <c r="F74" s="108" t="n"/>
      <c r="G74" s="103">
        <f>IF($C74="","",IF($F74&lt;&gt;"",$F74,$E74))</f>
        <v/>
      </c>
      <c r="H74" s="85">
        <f>IF($B74="","",TEXT($B74,"mmm yyyy"))</f>
        <v/>
      </c>
    </row>
    <row r="75" ht="18" customHeight="1">
      <c r="A75" s="14" t="n"/>
      <c r="B75" s="107" t="n"/>
      <c r="C75" s="81" t="n"/>
      <c r="D75" s="59" t="n"/>
      <c r="E75" s="104">
        <f>IF($C75="","",IFERROR(LOOKUP(2,1/((ISNUMBER(SEARCH('Category Rules'!$B$6:$B$75,$C75)))*('Category Rules'!$B$6:$B$75&lt;&gt;"")),'Category Rules'!$C$6:$C$75),"Uncategorized"))</f>
        <v/>
      </c>
      <c r="F75" s="108" t="n"/>
      <c r="G75" s="106">
        <f>IF($C75="","",IF($F75&lt;&gt;"",$F75,$E75))</f>
        <v/>
      </c>
      <c r="H75" s="82">
        <f>IF($B75="","",TEXT($B75,"mmm yyyy"))</f>
        <v/>
      </c>
    </row>
    <row r="76" ht="18" customHeight="1">
      <c r="A76" s="10" t="n"/>
      <c r="B76" s="109" t="n"/>
      <c r="C76" s="84" t="n"/>
      <c r="D76" s="52" t="n"/>
      <c r="E76" s="101">
        <f>IF($C76="","",IFERROR(LOOKUP(2,1/((ISNUMBER(SEARCH('Category Rules'!$B$6:$B$75,$C76)))*('Category Rules'!$B$6:$B$75&lt;&gt;"")),'Category Rules'!$C$6:$C$75),"Uncategorized"))</f>
        <v/>
      </c>
      <c r="F76" s="108" t="n"/>
      <c r="G76" s="103">
        <f>IF($C76="","",IF($F76&lt;&gt;"",$F76,$E76))</f>
        <v/>
      </c>
      <c r="H76" s="85">
        <f>IF($B76="","",TEXT($B76,"mmm yyyy"))</f>
        <v/>
      </c>
    </row>
    <row r="77" ht="18" customHeight="1">
      <c r="A77" s="14" t="n"/>
      <c r="B77" s="107" t="n"/>
      <c r="C77" s="81" t="n"/>
      <c r="D77" s="59" t="n"/>
      <c r="E77" s="104">
        <f>IF($C77="","",IFERROR(LOOKUP(2,1/((ISNUMBER(SEARCH('Category Rules'!$B$6:$B$75,$C77)))*('Category Rules'!$B$6:$B$75&lt;&gt;"")),'Category Rules'!$C$6:$C$75),"Uncategorized"))</f>
        <v/>
      </c>
      <c r="F77" s="108" t="n"/>
      <c r="G77" s="106">
        <f>IF($C77="","",IF($F77&lt;&gt;"",$F77,$E77))</f>
        <v/>
      </c>
      <c r="H77" s="82">
        <f>IF($B77="","",TEXT($B77,"mmm yyyy"))</f>
        <v/>
      </c>
    </row>
    <row r="78" ht="18" customHeight="1">
      <c r="A78" s="10" t="n"/>
      <c r="B78" s="109" t="n"/>
      <c r="C78" s="84" t="n"/>
      <c r="D78" s="52" t="n"/>
      <c r="E78" s="101">
        <f>IF($C78="","",IFERROR(LOOKUP(2,1/((ISNUMBER(SEARCH('Category Rules'!$B$6:$B$75,$C78)))*('Category Rules'!$B$6:$B$75&lt;&gt;"")),'Category Rules'!$C$6:$C$75),"Uncategorized"))</f>
        <v/>
      </c>
      <c r="F78" s="108" t="n"/>
      <c r="G78" s="103">
        <f>IF($C78="","",IF($F78&lt;&gt;"",$F78,$E78))</f>
        <v/>
      </c>
      <c r="H78" s="85">
        <f>IF($B78="","",TEXT($B78,"mmm yyyy"))</f>
        <v/>
      </c>
    </row>
    <row r="79" ht="18" customHeight="1">
      <c r="A79" s="14" t="n"/>
      <c r="B79" s="107" t="n"/>
      <c r="C79" s="81" t="n"/>
      <c r="D79" s="59" t="n"/>
      <c r="E79" s="104">
        <f>IF($C79="","",IFERROR(LOOKUP(2,1/((ISNUMBER(SEARCH('Category Rules'!$B$6:$B$75,$C79)))*('Category Rules'!$B$6:$B$75&lt;&gt;"")),'Category Rules'!$C$6:$C$75),"Uncategorized"))</f>
        <v/>
      </c>
      <c r="F79" s="108" t="n"/>
      <c r="G79" s="106">
        <f>IF($C79="","",IF($F79&lt;&gt;"",$F79,$E79))</f>
        <v/>
      </c>
      <c r="H79" s="82">
        <f>IF($B79="","",TEXT($B79,"mmm yyyy"))</f>
        <v/>
      </c>
    </row>
    <row r="80" ht="18" customHeight="1">
      <c r="A80" s="10" t="n"/>
      <c r="B80" s="109" t="n"/>
      <c r="C80" s="84" t="n"/>
      <c r="D80" s="52" t="n"/>
      <c r="E80" s="101">
        <f>IF($C80="","",IFERROR(LOOKUP(2,1/((ISNUMBER(SEARCH('Category Rules'!$B$6:$B$75,$C80)))*('Category Rules'!$B$6:$B$75&lt;&gt;"")),'Category Rules'!$C$6:$C$75),"Uncategorized"))</f>
        <v/>
      </c>
      <c r="F80" s="108" t="n"/>
      <c r="G80" s="103">
        <f>IF($C80="","",IF($F80&lt;&gt;"",$F80,$E80))</f>
        <v/>
      </c>
      <c r="H80" s="85">
        <f>IF($B80="","",TEXT($B80,"mmm yyyy"))</f>
        <v/>
      </c>
    </row>
    <row r="81" ht="18" customHeight="1">
      <c r="A81" s="14" t="n"/>
      <c r="B81" s="107" t="n"/>
      <c r="C81" s="81" t="n"/>
      <c r="D81" s="59" t="n"/>
      <c r="E81" s="104">
        <f>IF($C81="","",IFERROR(LOOKUP(2,1/((ISNUMBER(SEARCH('Category Rules'!$B$6:$B$75,$C81)))*('Category Rules'!$B$6:$B$75&lt;&gt;"")),'Category Rules'!$C$6:$C$75),"Uncategorized"))</f>
        <v/>
      </c>
      <c r="F81" s="108" t="n"/>
      <c r="G81" s="106">
        <f>IF($C81="","",IF($F81&lt;&gt;"",$F81,$E81))</f>
        <v/>
      </c>
      <c r="H81" s="82">
        <f>IF($B81="","",TEXT($B81,"mmm yyyy"))</f>
        <v/>
      </c>
    </row>
    <row r="82" ht="18" customHeight="1">
      <c r="A82" s="10" t="n"/>
      <c r="B82" s="109" t="n"/>
      <c r="C82" s="84" t="n"/>
      <c r="D82" s="52" t="n"/>
      <c r="E82" s="101">
        <f>IF($C82="","",IFERROR(LOOKUP(2,1/((ISNUMBER(SEARCH('Category Rules'!$B$6:$B$75,$C82)))*('Category Rules'!$B$6:$B$75&lt;&gt;"")),'Category Rules'!$C$6:$C$75),"Uncategorized"))</f>
        <v/>
      </c>
      <c r="F82" s="108" t="n"/>
      <c r="G82" s="103">
        <f>IF($C82="","",IF($F82&lt;&gt;"",$F82,$E82))</f>
        <v/>
      </c>
      <c r="H82" s="85">
        <f>IF($B82="","",TEXT($B82,"mmm yyyy"))</f>
        <v/>
      </c>
    </row>
    <row r="83" ht="18" customHeight="1">
      <c r="A83" s="14" t="n"/>
      <c r="B83" s="107" t="n"/>
      <c r="C83" s="81" t="n"/>
      <c r="D83" s="59" t="n"/>
      <c r="E83" s="104">
        <f>IF($C83="","",IFERROR(LOOKUP(2,1/((ISNUMBER(SEARCH('Category Rules'!$B$6:$B$75,$C83)))*('Category Rules'!$B$6:$B$75&lt;&gt;"")),'Category Rules'!$C$6:$C$75),"Uncategorized"))</f>
        <v/>
      </c>
      <c r="F83" s="108" t="n"/>
      <c r="G83" s="106">
        <f>IF($C83="","",IF($F83&lt;&gt;"",$F83,$E83))</f>
        <v/>
      </c>
      <c r="H83" s="82">
        <f>IF($B83="","",TEXT($B83,"mmm yyyy"))</f>
        <v/>
      </c>
    </row>
    <row r="84" ht="18" customHeight="1">
      <c r="A84" s="10" t="n"/>
      <c r="B84" s="109" t="n"/>
      <c r="C84" s="84" t="n"/>
      <c r="D84" s="52" t="n"/>
      <c r="E84" s="101">
        <f>IF($C84="","",IFERROR(LOOKUP(2,1/((ISNUMBER(SEARCH('Category Rules'!$B$6:$B$75,$C84)))*('Category Rules'!$B$6:$B$75&lt;&gt;"")),'Category Rules'!$C$6:$C$75),"Uncategorized"))</f>
        <v/>
      </c>
      <c r="F84" s="108" t="n"/>
      <c r="G84" s="103">
        <f>IF($C84="","",IF($F84&lt;&gt;"",$F84,$E84))</f>
        <v/>
      </c>
      <c r="H84" s="85">
        <f>IF($B84="","",TEXT($B84,"mmm yyyy"))</f>
        <v/>
      </c>
    </row>
    <row r="85" ht="18" customHeight="1">
      <c r="A85" s="14" t="n"/>
      <c r="B85" s="107" t="n"/>
      <c r="C85" s="81" t="n"/>
      <c r="D85" s="59" t="n"/>
      <c r="E85" s="104">
        <f>IF($C85="","",IFERROR(LOOKUP(2,1/((ISNUMBER(SEARCH('Category Rules'!$B$6:$B$75,$C85)))*('Category Rules'!$B$6:$B$75&lt;&gt;"")),'Category Rules'!$C$6:$C$75),"Uncategorized"))</f>
        <v/>
      </c>
      <c r="F85" s="108" t="n"/>
      <c r="G85" s="106">
        <f>IF($C85="","",IF($F85&lt;&gt;"",$F85,$E85))</f>
        <v/>
      </c>
      <c r="H85" s="82">
        <f>IF($B85="","",TEXT($B85,"mmm yyyy"))</f>
        <v/>
      </c>
    </row>
    <row r="86" ht="18" customHeight="1">
      <c r="A86" s="10" t="n"/>
      <c r="B86" s="109" t="n"/>
      <c r="C86" s="84" t="n"/>
      <c r="D86" s="52" t="n"/>
      <c r="E86" s="101">
        <f>IF($C86="","",IFERROR(LOOKUP(2,1/((ISNUMBER(SEARCH('Category Rules'!$B$6:$B$75,$C86)))*('Category Rules'!$B$6:$B$75&lt;&gt;"")),'Category Rules'!$C$6:$C$75),"Uncategorized"))</f>
        <v/>
      </c>
      <c r="F86" s="108" t="n"/>
      <c r="G86" s="103">
        <f>IF($C86="","",IF($F86&lt;&gt;"",$F86,$E86))</f>
        <v/>
      </c>
      <c r="H86" s="85">
        <f>IF($B86="","",TEXT($B86,"mmm yyyy"))</f>
        <v/>
      </c>
    </row>
    <row r="87" ht="18" customHeight="1">
      <c r="A87" s="14" t="n"/>
      <c r="B87" s="107" t="n"/>
      <c r="C87" s="81" t="n"/>
      <c r="D87" s="59" t="n"/>
      <c r="E87" s="104">
        <f>IF($C87="","",IFERROR(LOOKUP(2,1/((ISNUMBER(SEARCH('Category Rules'!$B$6:$B$75,$C87)))*('Category Rules'!$B$6:$B$75&lt;&gt;"")),'Category Rules'!$C$6:$C$75),"Uncategorized"))</f>
        <v/>
      </c>
      <c r="F87" s="108" t="n"/>
      <c r="G87" s="106">
        <f>IF($C87="","",IF($F87&lt;&gt;"",$F87,$E87))</f>
        <v/>
      </c>
      <c r="H87" s="82">
        <f>IF($B87="","",TEXT($B87,"mmm yyyy"))</f>
        <v/>
      </c>
    </row>
    <row r="88" ht="18" customHeight="1">
      <c r="A88" s="10" t="n"/>
      <c r="B88" s="109" t="n"/>
      <c r="C88" s="84" t="n"/>
      <c r="D88" s="52" t="n"/>
      <c r="E88" s="101">
        <f>IF($C88="","",IFERROR(LOOKUP(2,1/((ISNUMBER(SEARCH('Category Rules'!$B$6:$B$75,$C88)))*('Category Rules'!$B$6:$B$75&lt;&gt;"")),'Category Rules'!$C$6:$C$75),"Uncategorized"))</f>
        <v/>
      </c>
      <c r="F88" s="108" t="n"/>
      <c r="G88" s="103">
        <f>IF($C88="","",IF($F88&lt;&gt;"",$F88,$E88))</f>
        <v/>
      </c>
      <c r="H88" s="85">
        <f>IF($B88="","",TEXT($B88,"mmm yyyy"))</f>
        <v/>
      </c>
    </row>
    <row r="89" ht="18" customHeight="1">
      <c r="A89" s="14" t="n"/>
      <c r="B89" s="107" t="n"/>
      <c r="C89" s="81" t="n"/>
      <c r="D89" s="59" t="n"/>
      <c r="E89" s="104">
        <f>IF($C89="","",IFERROR(LOOKUP(2,1/((ISNUMBER(SEARCH('Category Rules'!$B$6:$B$75,$C89)))*('Category Rules'!$B$6:$B$75&lt;&gt;"")),'Category Rules'!$C$6:$C$75),"Uncategorized"))</f>
        <v/>
      </c>
      <c r="F89" s="108" t="n"/>
      <c r="G89" s="106">
        <f>IF($C89="","",IF($F89&lt;&gt;"",$F89,$E89))</f>
        <v/>
      </c>
      <c r="H89" s="82">
        <f>IF($B89="","",TEXT($B89,"mmm yyyy"))</f>
        <v/>
      </c>
    </row>
    <row r="90" ht="18" customHeight="1">
      <c r="A90" s="10" t="n"/>
      <c r="B90" s="109" t="n"/>
      <c r="C90" s="84" t="n"/>
      <c r="D90" s="52" t="n"/>
      <c r="E90" s="101">
        <f>IF($C90="","",IFERROR(LOOKUP(2,1/((ISNUMBER(SEARCH('Category Rules'!$B$6:$B$75,$C90)))*('Category Rules'!$B$6:$B$75&lt;&gt;"")),'Category Rules'!$C$6:$C$75),"Uncategorized"))</f>
        <v/>
      </c>
      <c r="F90" s="108" t="n"/>
      <c r="G90" s="103">
        <f>IF($C90="","",IF($F90&lt;&gt;"",$F90,$E90))</f>
        <v/>
      </c>
      <c r="H90" s="85">
        <f>IF($B90="","",TEXT($B90,"mmm yyyy"))</f>
        <v/>
      </c>
    </row>
    <row r="91" ht="18" customHeight="1">
      <c r="A91" s="14" t="n"/>
      <c r="B91" s="107" t="n"/>
      <c r="C91" s="81" t="n"/>
      <c r="D91" s="59" t="n"/>
      <c r="E91" s="104">
        <f>IF($C91="","",IFERROR(LOOKUP(2,1/((ISNUMBER(SEARCH('Category Rules'!$B$6:$B$75,$C91)))*('Category Rules'!$B$6:$B$75&lt;&gt;"")),'Category Rules'!$C$6:$C$75),"Uncategorized"))</f>
        <v/>
      </c>
      <c r="F91" s="108" t="n"/>
      <c r="G91" s="106">
        <f>IF($C91="","",IF($F91&lt;&gt;"",$F91,$E91))</f>
        <v/>
      </c>
      <c r="H91" s="82">
        <f>IF($B91="","",TEXT($B91,"mmm yyyy"))</f>
        <v/>
      </c>
    </row>
    <row r="92" ht="18" customHeight="1">
      <c r="A92" s="10" t="n"/>
      <c r="B92" s="109" t="n"/>
      <c r="C92" s="84" t="n"/>
      <c r="D92" s="52" t="n"/>
      <c r="E92" s="101">
        <f>IF($C92="","",IFERROR(LOOKUP(2,1/((ISNUMBER(SEARCH('Category Rules'!$B$6:$B$75,$C92)))*('Category Rules'!$B$6:$B$75&lt;&gt;"")),'Category Rules'!$C$6:$C$75),"Uncategorized"))</f>
        <v/>
      </c>
      <c r="F92" s="108" t="n"/>
      <c r="G92" s="103">
        <f>IF($C92="","",IF($F92&lt;&gt;"",$F92,$E92))</f>
        <v/>
      </c>
      <c r="H92" s="85">
        <f>IF($B92="","",TEXT($B92,"mmm yyyy"))</f>
        <v/>
      </c>
    </row>
    <row r="93" ht="18" customHeight="1">
      <c r="A93" s="14" t="n"/>
      <c r="B93" s="107" t="n"/>
      <c r="C93" s="81" t="n"/>
      <c r="D93" s="59" t="n"/>
      <c r="E93" s="104">
        <f>IF($C93="","",IFERROR(LOOKUP(2,1/((ISNUMBER(SEARCH('Category Rules'!$B$6:$B$75,$C93)))*('Category Rules'!$B$6:$B$75&lt;&gt;"")),'Category Rules'!$C$6:$C$75),"Uncategorized"))</f>
        <v/>
      </c>
      <c r="F93" s="108" t="n"/>
      <c r="G93" s="106">
        <f>IF($C93="","",IF($F93&lt;&gt;"",$F93,$E93))</f>
        <v/>
      </c>
      <c r="H93" s="82">
        <f>IF($B93="","",TEXT($B93,"mmm yyyy"))</f>
        <v/>
      </c>
    </row>
    <row r="94" ht="18" customHeight="1">
      <c r="A94" s="10" t="n"/>
      <c r="B94" s="109" t="n"/>
      <c r="C94" s="84" t="n"/>
      <c r="D94" s="52" t="n"/>
      <c r="E94" s="101">
        <f>IF($C94="","",IFERROR(LOOKUP(2,1/((ISNUMBER(SEARCH('Category Rules'!$B$6:$B$75,$C94)))*('Category Rules'!$B$6:$B$75&lt;&gt;"")),'Category Rules'!$C$6:$C$75),"Uncategorized"))</f>
        <v/>
      </c>
      <c r="F94" s="108" t="n"/>
      <c r="G94" s="103">
        <f>IF($C94="","",IF($F94&lt;&gt;"",$F94,$E94))</f>
        <v/>
      </c>
      <c r="H94" s="85">
        <f>IF($B94="","",TEXT($B94,"mmm yyyy"))</f>
        <v/>
      </c>
    </row>
    <row r="95" ht="18" customHeight="1">
      <c r="A95" s="14" t="n"/>
      <c r="B95" s="107" t="n"/>
      <c r="C95" s="81" t="n"/>
      <c r="D95" s="59" t="n"/>
      <c r="E95" s="104">
        <f>IF($C95="","",IFERROR(LOOKUP(2,1/((ISNUMBER(SEARCH('Category Rules'!$B$6:$B$75,$C95)))*('Category Rules'!$B$6:$B$75&lt;&gt;"")),'Category Rules'!$C$6:$C$75),"Uncategorized"))</f>
        <v/>
      </c>
      <c r="F95" s="108" t="n"/>
      <c r="G95" s="106">
        <f>IF($C95="","",IF($F95&lt;&gt;"",$F95,$E95))</f>
        <v/>
      </c>
      <c r="H95" s="82">
        <f>IF($B95="","",TEXT($B95,"mmm yyyy"))</f>
        <v/>
      </c>
    </row>
    <row r="96" ht="18" customHeight="1">
      <c r="A96" s="10" t="n"/>
      <c r="B96" s="109" t="n"/>
      <c r="C96" s="84" t="n"/>
      <c r="D96" s="52" t="n"/>
      <c r="E96" s="101">
        <f>IF($C96="","",IFERROR(LOOKUP(2,1/((ISNUMBER(SEARCH('Category Rules'!$B$6:$B$75,$C96)))*('Category Rules'!$B$6:$B$75&lt;&gt;"")),'Category Rules'!$C$6:$C$75),"Uncategorized"))</f>
        <v/>
      </c>
      <c r="F96" s="108" t="n"/>
      <c r="G96" s="103">
        <f>IF($C96="","",IF($F96&lt;&gt;"",$F96,$E96))</f>
        <v/>
      </c>
      <c r="H96" s="85">
        <f>IF($B96="","",TEXT($B96,"mmm yyyy"))</f>
        <v/>
      </c>
    </row>
    <row r="97" ht="18" customHeight="1">
      <c r="A97" s="14" t="n"/>
      <c r="B97" s="107" t="n"/>
      <c r="C97" s="81" t="n"/>
      <c r="D97" s="59" t="n"/>
      <c r="E97" s="104">
        <f>IF($C97="","",IFERROR(LOOKUP(2,1/((ISNUMBER(SEARCH('Category Rules'!$B$6:$B$75,$C97)))*('Category Rules'!$B$6:$B$75&lt;&gt;"")),'Category Rules'!$C$6:$C$75),"Uncategorized"))</f>
        <v/>
      </c>
      <c r="F97" s="108" t="n"/>
      <c r="G97" s="106">
        <f>IF($C97="","",IF($F97&lt;&gt;"",$F97,$E97))</f>
        <v/>
      </c>
      <c r="H97" s="82">
        <f>IF($B97="","",TEXT($B97,"mmm yyyy"))</f>
        <v/>
      </c>
    </row>
    <row r="98" ht="18" customHeight="1">
      <c r="A98" s="10" t="n"/>
      <c r="B98" s="109" t="n"/>
      <c r="C98" s="84" t="n"/>
      <c r="D98" s="52" t="n"/>
      <c r="E98" s="101">
        <f>IF($C98="","",IFERROR(LOOKUP(2,1/((ISNUMBER(SEARCH('Category Rules'!$B$6:$B$75,$C98)))*('Category Rules'!$B$6:$B$75&lt;&gt;"")),'Category Rules'!$C$6:$C$75),"Uncategorized"))</f>
        <v/>
      </c>
      <c r="F98" s="108" t="n"/>
      <c r="G98" s="103">
        <f>IF($C98="","",IF($F98&lt;&gt;"",$F98,$E98))</f>
        <v/>
      </c>
      <c r="H98" s="85">
        <f>IF($B98="","",TEXT($B98,"mmm yyyy"))</f>
        <v/>
      </c>
    </row>
    <row r="99" ht="18" customHeight="1">
      <c r="A99" s="14" t="n"/>
      <c r="B99" s="107" t="n"/>
      <c r="C99" s="81" t="n"/>
      <c r="D99" s="59" t="n"/>
      <c r="E99" s="104">
        <f>IF($C99="","",IFERROR(LOOKUP(2,1/((ISNUMBER(SEARCH('Category Rules'!$B$6:$B$75,$C99)))*('Category Rules'!$B$6:$B$75&lt;&gt;"")),'Category Rules'!$C$6:$C$75),"Uncategorized"))</f>
        <v/>
      </c>
      <c r="F99" s="108" t="n"/>
      <c r="G99" s="106">
        <f>IF($C99="","",IF($F99&lt;&gt;"",$F99,$E99))</f>
        <v/>
      </c>
      <c r="H99" s="82">
        <f>IF($B99="","",TEXT($B99,"mmm yyyy"))</f>
        <v/>
      </c>
    </row>
    <row r="100" ht="18" customHeight="1">
      <c r="A100" s="10" t="n"/>
      <c r="B100" s="109" t="n"/>
      <c r="C100" s="84" t="n"/>
      <c r="D100" s="52" t="n"/>
      <c r="E100" s="101">
        <f>IF($C100="","",IFERROR(LOOKUP(2,1/((ISNUMBER(SEARCH('Category Rules'!$B$6:$B$75,$C100)))*('Category Rules'!$B$6:$B$75&lt;&gt;"")),'Category Rules'!$C$6:$C$75),"Uncategorized"))</f>
        <v/>
      </c>
      <c r="F100" s="108" t="n"/>
      <c r="G100" s="103">
        <f>IF($C100="","",IF($F100&lt;&gt;"",$F100,$E100))</f>
        <v/>
      </c>
      <c r="H100" s="85">
        <f>IF($B100="","",TEXT($B100,"mmm yyyy"))</f>
        <v/>
      </c>
    </row>
    <row r="101" ht="18" customHeight="1">
      <c r="A101" s="14" t="n"/>
      <c r="B101" s="107" t="n"/>
      <c r="C101" s="81" t="n"/>
      <c r="D101" s="59" t="n"/>
      <c r="E101" s="104">
        <f>IF($C101="","",IFERROR(LOOKUP(2,1/((ISNUMBER(SEARCH('Category Rules'!$B$6:$B$75,$C101)))*('Category Rules'!$B$6:$B$75&lt;&gt;"")),'Category Rules'!$C$6:$C$75),"Uncategorized"))</f>
        <v/>
      </c>
      <c r="F101" s="108" t="n"/>
      <c r="G101" s="106">
        <f>IF($C101="","",IF($F101&lt;&gt;"",$F101,$E101))</f>
        <v/>
      </c>
      <c r="H101" s="82">
        <f>IF($B101="","",TEXT($B101,"mmm yyyy"))</f>
        <v/>
      </c>
    </row>
    <row r="102" ht="18" customHeight="1">
      <c r="A102" s="10" t="n"/>
      <c r="B102" s="109" t="n"/>
      <c r="C102" s="84" t="n"/>
      <c r="D102" s="52" t="n"/>
      <c r="E102" s="101">
        <f>IF($C102="","",IFERROR(LOOKUP(2,1/((ISNUMBER(SEARCH('Category Rules'!$B$6:$B$75,$C102)))*('Category Rules'!$B$6:$B$75&lt;&gt;"")),'Category Rules'!$C$6:$C$75),"Uncategorized"))</f>
        <v/>
      </c>
      <c r="F102" s="108" t="n"/>
      <c r="G102" s="103">
        <f>IF($C102="","",IF($F102&lt;&gt;"",$F102,$E102))</f>
        <v/>
      </c>
      <c r="H102" s="85">
        <f>IF($B102="","",TEXT($B102,"mmm yyyy"))</f>
        <v/>
      </c>
    </row>
    <row r="103" ht="18" customHeight="1">
      <c r="A103" s="14" t="n"/>
      <c r="B103" s="107" t="n"/>
      <c r="C103" s="81" t="n"/>
      <c r="D103" s="59" t="n"/>
      <c r="E103" s="104">
        <f>IF($C103="","",IFERROR(LOOKUP(2,1/((ISNUMBER(SEARCH('Category Rules'!$B$6:$B$75,$C103)))*('Category Rules'!$B$6:$B$75&lt;&gt;"")),'Category Rules'!$C$6:$C$75),"Uncategorized"))</f>
        <v/>
      </c>
      <c r="F103" s="108" t="n"/>
      <c r="G103" s="106">
        <f>IF($C103="","",IF($F103&lt;&gt;"",$F103,$E103))</f>
        <v/>
      </c>
      <c r="H103" s="82">
        <f>IF($B103="","",TEXT($B103,"mmm yyyy"))</f>
        <v/>
      </c>
    </row>
    <row r="104" ht="18" customHeight="1">
      <c r="A104" s="10" t="n"/>
      <c r="B104" s="109" t="n"/>
      <c r="C104" s="84" t="n"/>
      <c r="D104" s="52" t="n"/>
      <c r="E104" s="101">
        <f>IF($C104="","",IFERROR(LOOKUP(2,1/((ISNUMBER(SEARCH('Category Rules'!$B$6:$B$75,$C104)))*('Category Rules'!$B$6:$B$75&lt;&gt;"")),'Category Rules'!$C$6:$C$75),"Uncategorized"))</f>
        <v/>
      </c>
      <c r="F104" s="108" t="n"/>
      <c r="G104" s="103">
        <f>IF($C104="","",IF($F104&lt;&gt;"",$F104,$E104))</f>
        <v/>
      </c>
      <c r="H104" s="85">
        <f>IF($B104="","",TEXT($B104,"mmm yyyy"))</f>
        <v/>
      </c>
    </row>
    <row r="105" ht="18" customHeight="1">
      <c r="A105" s="14" t="n"/>
      <c r="B105" s="107" t="n"/>
      <c r="C105" s="81" t="n"/>
      <c r="D105" s="59" t="n"/>
      <c r="E105" s="104">
        <f>IF($C105="","",IFERROR(LOOKUP(2,1/((ISNUMBER(SEARCH('Category Rules'!$B$6:$B$75,$C105)))*('Category Rules'!$B$6:$B$75&lt;&gt;"")),'Category Rules'!$C$6:$C$75),"Uncategorized"))</f>
        <v/>
      </c>
      <c r="F105" s="108" t="n"/>
      <c r="G105" s="106">
        <f>IF($C105="","",IF($F105&lt;&gt;"",$F105,$E105))</f>
        <v/>
      </c>
      <c r="H105" s="82">
        <f>IF($B105="","",TEXT($B105,"mmm yyyy"))</f>
        <v/>
      </c>
    </row>
    <row r="106" ht="18" customHeight="1">
      <c r="A106" s="10" t="n"/>
      <c r="B106" s="109" t="n"/>
      <c r="C106" s="84" t="n"/>
      <c r="D106" s="52" t="n"/>
      <c r="E106" s="101">
        <f>IF($C106="","",IFERROR(LOOKUP(2,1/((ISNUMBER(SEARCH('Category Rules'!$B$6:$B$75,$C106)))*('Category Rules'!$B$6:$B$75&lt;&gt;"")),'Category Rules'!$C$6:$C$75),"Uncategorized"))</f>
        <v/>
      </c>
      <c r="F106" s="108" t="n"/>
      <c r="G106" s="103">
        <f>IF($C106="","",IF($F106&lt;&gt;"",$F106,$E106))</f>
        <v/>
      </c>
      <c r="H106" s="85">
        <f>IF($B106="","",TEXT($B106,"mmm yyyy"))</f>
        <v/>
      </c>
    </row>
    <row r="107" ht="18" customHeight="1">
      <c r="A107" s="14" t="n"/>
      <c r="B107" s="107" t="n"/>
      <c r="C107" s="81" t="n"/>
      <c r="D107" s="59" t="n"/>
      <c r="E107" s="104">
        <f>IF($C107="","",IFERROR(LOOKUP(2,1/((ISNUMBER(SEARCH('Category Rules'!$B$6:$B$75,$C107)))*('Category Rules'!$B$6:$B$75&lt;&gt;"")),'Category Rules'!$C$6:$C$75),"Uncategorized"))</f>
        <v/>
      </c>
      <c r="F107" s="108" t="n"/>
      <c r="G107" s="106">
        <f>IF($C107="","",IF($F107&lt;&gt;"",$F107,$E107))</f>
        <v/>
      </c>
      <c r="H107" s="82">
        <f>IF($B107="","",TEXT($B107,"mmm yyyy"))</f>
        <v/>
      </c>
    </row>
    <row r="108" ht="18" customHeight="1">
      <c r="A108" s="10" t="n"/>
      <c r="B108" s="109" t="n"/>
      <c r="C108" s="84" t="n"/>
      <c r="D108" s="52" t="n"/>
      <c r="E108" s="101">
        <f>IF($C108="","",IFERROR(LOOKUP(2,1/((ISNUMBER(SEARCH('Category Rules'!$B$6:$B$75,$C108)))*('Category Rules'!$B$6:$B$75&lt;&gt;"")),'Category Rules'!$C$6:$C$75),"Uncategorized"))</f>
        <v/>
      </c>
      <c r="F108" s="108" t="n"/>
      <c r="G108" s="103">
        <f>IF($C108="","",IF($F108&lt;&gt;"",$F108,$E108))</f>
        <v/>
      </c>
      <c r="H108" s="85">
        <f>IF($B108="","",TEXT($B108,"mmm yyyy"))</f>
        <v/>
      </c>
    </row>
    <row r="109" ht="18" customHeight="1">
      <c r="A109" s="14" t="n"/>
      <c r="B109" s="107" t="n"/>
      <c r="C109" s="81" t="n"/>
      <c r="D109" s="59" t="n"/>
      <c r="E109" s="104">
        <f>IF($C109="","",IFERROR(LOOKUP(2,1/((ISNUMBER(SEARCH('Category Rules'!$B$6:$B$75,$C109)))*('Category Rules'!$B$6:$B$75&lt;&gt;"")),'Category Rules'!$C$6:$C$75),"Uncategorized"))</f>
        <v/>
      </c>
      <c r="F109" s="108" t="n"/>
      <c r="G109" s="106">
        <f>IF($C109="","",IF($F109&lt;&gt;"",$F109,$E109))</f>
        <v/>
      </c>
      <c r="H109" s="82">
        <f>IF($B109="","",TEXT($B109,"mmm yyyy"))</f>
        <v/>
      </c>
    </row>
    <row r="110" ht="18" customHeight="1">
      <c r="A110" s="10" t="n"/>
      <c r="B110" s="109" t="n"/>
      <c r="C110" s="84" t="n"/>
      <c r="D110" s="52" t="n"/>
      <c r="E110" s="101">
        <f>IF($C110="","",IFERROR(LOOKUP(2,1/((ISNUMBER(SEARCH('Category Rules'!$B$6:$B$75,$C110)))*('Category Rules'!$B$6:$B$75&lt;&gt;"")),'Category Rules'!$C$6:$C$75),"Uncategorized"))</f>
        <v/>
      </c>
      <c r="F110" s="108" t="n"/>
      <c r="G110" s="103">
        <f>IF($C110="","",IF($F110&lt;&gt;"",$F110,$E110))</f>
        <v/>
      </c>
      <c r="H110" s="85">
        <f>IF($B110="","",TEXT($B110,"mmm yyyy"))</f>
        <v/>
      </c>
    </row>
    <row r="111" ht="18" customHeight="1">
      <c r="A111" s="14" t="n"/>
      <c r="B111" s="107" t="n"/>
      <c r="C111" s="81" t="n"/>
      <c r="D111" s="59" t="n"/>
      <c r="E111" s="104">
        <f>IF($C111="","",IFERROR(LOOKUP(2,1/((ISNUMBER(SEARCH('Category Rules'!$B$6:$B$75,$C111)))*('Category Rules'!$B$6:$B$75&lt;&gt;"")),'Category Rules'!$C$6:$C$75),"Uncategorized"))</f>
        <v/>
      </c>
      <c r="F111" s="108" t="n"/>
      <c r="G111" s="106">
        <f>IF($C111="","",IF($F111&lt;&gt;"",$F111,$E111))</f>
        <v/>
      </c>
      <c r="H111" s="82">
        <f>IF($B111="","",TEXT($B111,"mmm yyyy"))</f>
        <v/>
      </c>
    </row>
    <row r="112" ht="18" customHeight="1">
      <c r="A112" s="10" t="n"/>
      <c r="B112" s="109" t="n"/>
      <c r="C112" s="84" t="n"/>
      <c r="D112" s="52" t="n"/>
      <c r="E112" s="101">
        <f>IF($C112="","",IFERROR(LOOKUP(2,1/((ISNUMBER(SEARCH('Category Rules'!$B$6:$B$75,$C112)))*('Category Rules'!$B$6:$B$75&lt;&gt;"")),'Category Rules'!$C$6:$C$75),"Uncategorized"))</f>
        <v/>
      </c>
      <c r="F112" s="108" t="n"/>
      <c r="G112" s="103">
        <f>IF($C112="","",IF($F112&lt;&gt;"",$F112,$E112))</f>
        <v/>
      </c>
      <c r="H112" s="85">
        <f>IF($B112="","",TEXT($B112,"mmm yyyy"))</f>
        <v/>
      </c>
    </row>
    <row r="113" ht="18" customHeight="1">
      <c r="A113" s="14" t="n"/>
      <c r="B113" s="107" t="n"/>
      <c r="C113" s="81" t="n"/>
      <c r="D113" s="59" t="n"/>
      <c r="E113" s="104">
        <f>IF($C113="","",IFERROR(LOOKUP(2,1/((ISNUMBER(SEARCH('Category Rules'!$B$6:$B$75,$C113)))*('Category Rules'!$B$6:$B$75&lt;&gt;"")),'Category Rules'!$C$6:$C$75),"Uncategorized"))</f>
        <v/>
      </c>
      <c r="F113" s="108" t="n"/>
      <c r="G113" s="106">
        <f>IF($C113="","",IF($F113&lt;&gt;"",$F113,$E113))</f>
        <v/>
      </c>
      <c r="H113" s="82">
        <f>IF($B113="","",TEXT($B113,"mmm yyyy"))</f>
        <v/>
      </c>
    </row>
    <row r="114" ht="18" customHeight="1">
      <c r="A114" s="10" t="n"/>
      <c r="B114" s="109" t="n"/>
      <c r="C114" s="84" t="n"/>
      <c r="D114" s="52" t="n"/>
      <c r="E114" s="101">
        <f>IF($C114="","",IFERROR(LOOKUP(2,1/((ISNUMBER(SEARCH('Category Rules'!$B$6:$B$75,$C114)))*('Category Rules'!$B$6:$B$75&lt;&gt;"")),'Category Rules'!$C$6:$C$75),"Uncategorized"))</f>
        <v/>
      </c>
      <c r="F114" s="108" t="n"/>
      <c r="G114" s="103">
        <f>IF($C114="","",IF($F114&lt;&gt;"",$F114,$E114))</f>
        <v/>
      </c>
      <c r="H114" s="85">
        <f>IF($B114="","",TEXT($B114,"mmm yyyy"))</f>
        <v/>
      </c>
    </row>
    <row r="115" ht="18" customHeight="1">
      <c r="A115" s="14" t="n"/>
      <c r="B115" s="107" t="n"/>
      <c r="C115" s="81" t="n"/>
      <c r="D115" s="59" t="n"/>
      <c r="E115" s="104">
        <f>IF($C115="","",IFERROR(LOOKUP(2,1/((ISNUMBER(SEARCH('Category Rules'!$B$6:$B$75,$C115)))*('Category Rules'!$B$6:$B$75&lt;&gt;"")),'Category Rules'!$C$6:$C$75),"Uncategorized"))</f>
        <v/>
      </c>
      <c r="F115" s="108" t="n"/>
      <c r="G115" s="106">
        <f>IF($C115="","",IF($F115&lt;&gt;"",$F115,$E115))</f>
        <v/>
      </c>
      <c r="H115" s="82">
        <f>IF($B115="","",TEXT($B115,"mmm yyyy"))</f>
        <v/>
      </c>
    </row>
    <row r="116" ht="18" customHeight="1">
      <c r="A116" s="10" t="n"/>
      <c r="B116" s="109" t="n"/>
      <c r="C116" s="84" t="n"/>
      <c r="D116" s="52" t="n"/>
      <c r="E116" s="101">
        <f>IF($C116="","",IFERROR(LOOKUP(2,1/((ISNUMBER(SEARCH('Category Rules'!$B$6:$B$75,$C116)))*('Category Rules'!$B$6:$B$75&lt;&gt;"")),'Category Rules'!$C$6:$C$75),"Uncategorized"))</f>
        <v/>
      </c>
      <c r="F116" s="108" t="n"/>
      <c r="G116" s="103">
        <f>IF($C116="","",IF($F116&lt;&gt;"",$F116,$E116))</f>
        <v/>
      </c>
      <c r="H116" s="85">
        <f>IF($B116="","",TEXT($B116,"mmm yyyy"))</f>
        <v/>
      </c>
    </row>
    <row r="117" ht="18" customHeight="1">
      <c r="A117" s="14" t="n"/>
      <c r="B117" s="107" t="n"/>
      <c r="C117" s="81" t="n"/>
      <c r="D117" s="59" t="n"/>
      <c r="E117" s="104">
        <f>IF($C117="","",IFERROR(LOOKUP(2,1/((ISNUMBER(SEARCH('Category Rules'!$B$6:$B$75,$C117)))*('Category Rules'!$B$6:$B$75&lt;&gt;"")),'Category Rules'!$C$6:$C$75),"Uncategorized"))</f>
        <v/>
      </c>
      <c r="F117" s="108" t="n"/>
      <c r="G117" s="106">
        <f>IF($C117="","",IF($F117&lt;&gt;"",$F117,$E117))</f>
        <v/>
      </c>
      <c r="H117" s="82">
        <f>IF($B117="","",TEXT($B117,"mmm yyyy"))</f>
        <v/>
      </c>
    </row>
    <row r="118" ht="18" customHeight="1">
      <c r="A118" s="10" t="n"/>
      <c r="B118" s="109" t="n"/>
      <c r="C118" s="84" t="n"/>
      <c r="D118" s="52" t="n"/>
      <c r="E118" s="101">
        <f>IF($C118="","",IFERROR(LOOKUP(2,1/((ISNUMBER(SEARCH('Category Rules'!$B$6:$B$75,$C118)))*('Category Rules'!$B$6:$B$75&lt;&gt;"")),'Category Rules'!$C$6:$C$75),"Uncategorized"))</f>
        <v/>
      </c>
      <c r="F118" s="108" t="n"/>
      <c r="G118" s="103">
        <f>IF($C118="","",IF($F118&lt;&gt;"",$F118,$E118))</f>
        <v/>
      </c>
      <c r="H118" s="85">
        <f>IF($B118="","",TEXT($B118,"mmm yyyy"))</f>
        <v/>
      </c>
    </row>
    <row r="119" ht="18" customHeight="1">
      <c r="A119" s="14" t="n"/>
      <c r="B119" s="107" t="n"/>
      <c r="C119" s="81" t="n"/>
      <c r="D119" s="59" t="n"/>
      <c r="E119" s="104">
        <f>IF($C119="","",IFERROR(LOOKUP(2,1/((ISNUMBER(SEARCH('Category Rules'!$B$6:$B$75,$C119)))*('Category Rules'!$B$6:$B$75&lt;&gt;"")),'Category Rules'!$C$6:$C$75),"Uncategorized"))</f>
        <v/>
      </c>
      <c r="F119" s="108" t="n"/>
      <c r="G119" s="106">
        <f>IF($C119="","",IF($F119&lt;&gt;"",$F119,$E119))</f>
        <v/>
      </c>
      <c r="H119" s="82">
        <f>IF($B119="","",TEXT($B119,"mmm yyyy"))</f>
        <v/>
      </c>
    </row>
    <row r="120" ht="18" customHeight="1">
      <c r="A120" s="10" t="n"/>
      <c r="B120" s="109" t="n"/>
      <c r="C120" s="84" t="n"/>
      <c r="D120" s="52" t="n"/>
      <c r="E120" s="101">
        <f>IF($C120="","",IFERROR(LOOKUP(2,1/((ISNUMBER(SEARCH('Category Rules'!$B$6:$B$75,$C120)))*('Category Rules'!$B$6:$B$75&lt;&gt;"")),'Category Rules'!$C$6:$C$75),"Uncategorized"))</f>
        <v/>
      </c>
      <c r="F120" s="108" t="n"/>
      <c r="G120" s="103">
        <f>IF($C120="","",IF($F120&lt;&gt;"",$F120,$E120))</f>
        <v/>
      </c>
      <c r="H120" s="85">
        <f>IF($B120="","",TEXT($B120,"mmm yyyy"))</f>
        <v/>
      </c>
    </row>
    <row r="121" ht="18" customHeight="1">
      <c r="A121" s="14" t="n"/>
      <c r="B121" s="107" t="n"/>
      <c r="C121" s="81" t="n"/>
      <c r="D121" s="59" t="n"/>
      <c r="E121" s="104">
        <f>IF($C121="","",IFERROR(LOOKUP(2,1/((ISNUMBER(SEARCH('Category Rules'!$B$6:$B$75,$C121)))*('Category Rules'!$B$6:$B$75&lt;&gt;"")),'Category Rules'!$C$6:$C$75),"Uncategorized"))</f>
        <v/>
      </c>
      <c r="F121" s="108" t="n"/>
      <c r="G121" s="106">
        <f>IF($C121="","",IF($F121&lt;&gt;"",$F121,$E121))</f>
        <v/>
      </c>
      <c r="H121" s="82">
        <f>IF($B121="","",TEXT($B121,"mmm yyyy"))</f>
        <v/>
      </c>
    </row>
    <row r="122" ht="18" customHeight="1">
      <c r="A122" s="10" t="n"/>
      <c r="B122" s="109" t="n"/>
      <c r="C122" s="84" t="n"/>
      <c r="D122" s="52" t="n"/>
      <c r="E122" s="101">
        <f>IF($C122="","",IFERROR(LOOKUP(2,1/((ISNUMBER(SEARCH('Category Rules'!$B$6:$B$75,$C122)))*('Category Rules'!$B$6:$B$75&lt;&gt;"")),'Category Rules'!$C$6:$C$75),"Uncategorized"))</f>
        <v/>
      </c>
      <c r="F122" s="108" t="n"/>
      <c r="G122" s="103">
        <f>IF($C122="","",IF($F122&lt;&gt;"",$F122,$E122))</f>
        <v/>
      </c>
      <c r="H122" s="85">
        <f>IF($B122="","",TEXT($B122,"mmm yyyy"))</f>
        <v/>
      </c>
    </row>
    <row r="123" ht="18" customHeight="1">
      <c r="A123" s="14" t="n"/>
      <c r="B123" s="107" t="n"/>
      <c r="C123" s="81" t="n"/>
      <c r="D123" s="59" t="n"/>
      <c r="E123" s="104">
        <f>IF($C123="","",IFERROR(LOOKUP(2,1/((ISNUMBER(SEARCH('Category Rules'!$B$6:$B$75,$C123)))*('Category Rules'!$B$6:$B$75&lt;&gt;"")),'Category Rules'!$C$6:$C$75),"Uncategorized"))</f>
        <v/>
      </c>
      <c r="F123" s="108" t="n"/>
      <c r="G123" s="106">
        <f>IF($C123="","",IF($F123&lt;&gt;"",$F123,$E123))</f>
        <v/>
      </c>
      <c r="H123" s="82">
        <f>IF($B123="","",TEXT($B123,"mmm yyyy"))</f>
        <v/>
      </c>
    </row>
    <row r="124" ht="18" customHeight="1">
      <c r="A124" s="10" t="n"/>
      <c r="B124" s="109" t="n"/>
      <c r="C124" s="84" t="n"/>
      <c r="D124" s="52" t="n"/>
      <c r="E124" s="101">
        <f>IF($C124="","",IFERROR(LOOKUP(2,1/((ISNUMBER(SEARCH('Category Rules'!$B$6:$B$75,$C124)))*('Category Rules'!$B$6:$B$75&lt;&gt;"")),'Category Rules'!$C$6:$C$75),"Uncategorized"))</f>
        <v/>
      </c>
      <c r="F124" s="108" t="n"/>
      <c r="G124" s="103">
        <f>IF($C124="","",IF($F124&lt;&gt;"",$F124,$E124))</f>
        <v/>
      </c>
      <c r="H124" s="85">
        <f>IF($B124="","",TEXT($B124,"mmm yyyy"))</f>
        <v/>
      </c>
    </row>
    <row r="125" ht="18" customHeight="1">
      <c r="A125" s="14" t="n"/>
      <c r="B125" s="107" t="n"/>
      <c r="C125" s="81" t="n"/>
      <c r="D125" s="59" t="n"/>
      <c r="E125" s="104">
        <f>IF($C125="","",IFERROR(LOOKUP(2,1/((ISNUMBER(SEARCH('Category Rules'!$B$6:$B$75,$C125)))*('Category Rules'!$B$6:$B$75&lt;&gt;"")),'Category Rules'!$C$6:$C$75),"Uncategorized"))</f>
        <v/>
      </c>
      <c r="F125" s="108" t="n"/>
      <c r="G125" s="106">
        <f>IF($C125="","",IF($F125&lt;&gt;"",$F125,$E125))</f>
        <v/>
      </c>
      <c r="H125" s="82">
        <f>IF($B125="","",TEXT($B125,"mmm yyyy"))</f>
        <v/>
      </c>
    </row>
    <row r="126" ht="18" customHeight="1">
      <c r="A126" s="10" t="n"/>
      <c r="B126" s="109" t="n"/>
      <c r="C126" s="84" t="n"/>
      <c r="D126" s="52" t="n"/>
      <c r="E126" s="101">
        <f>IF($C126="","",IFERROR(LOOKUP(2,1/((ISNUMBER(SEARCH('Category Rules'!$B$6:$B$75,$C126)))*('Category Rules'!$B$6:$B$75&lt;&gt;"")),'Category Rules'!$C$6:$C$75),"Uncategorized"))</f>
        <v/>
      </c>
      <c r="F126" s="108" t="n"/>
      <c r="G126" s="103">
        <f>IF($C126="","",IF($F126&lt;&gt;"",$F126,$E126))</f>
        <v/>
      </c>
      <c r="H126" s="85">
        <f>IF($B126="","",TEXT($B126,"mmm yyyy"))</f>
        <v/>
      </c>
    </row>
    <row r="127" ht="18" customHeight="1">
      <c r="A127" s="14" t="n"/>
      <c r="B127" s="107" t="n"/>
      <c r="C127" s="81" t="n"/>
      <c r="D127" s="59" t="n"/>
      <c r="E127" s="104">
        <f>IF($C127="","",IFERROR(LOOKUP(2,1/((ISNUMBER(SEARCH('Category Rules'!$B$6:$B$75,$C127)))*('Category Rules'!$B$6:$B$75&lt;&gt;"")),'Category Rules'!$C$6:$C$75),"Uncategorized"))</f>
        <v/>
      </c>
      <c r="F127" s="108" t="n"/>
      <c r="G127" s="106">
        <f>IF($C127="","",IF($F127&lt;&gt;"",$F127,$E127))</f>
        <v/>
      </c>
      <c r="H127" s="82">
        <f>IF($B127="","",TEXT($B127,"mmm yyyy"))</f>
        <v/>
      </c>
    </row>
    <row r="128" ht="18" customHeight="1">
      <c r="A128" s="10" t="n"/>
      <c r="B128" s="109" t="n"/>
      <c r="C128" s="84" t="n"/>
      <c r="D128" s="52" t="n"/>
      <c r="E128" s="101">
        <f>IF($C128="","",IFERROR(LOOKUP(2,1/((ISNUMBER(SEARCH('Category Rules'!$B$6:$B$75,$C128)))*('Category Rules'!$B$6:$B$75&lt;&gt;"")),'Category Rules'!$C$6:$C$75),"Uncategorized"))</f>
        <v/>
      </c>
      <c r="F128" s="108" t="n"/>
      <c r="G128" s="103">
        <f>IF($C128="","",IF($F128&lt;&gt;"",$F128,$E128))</f>
        <v/>
      </c>
      <c r="H128" s="85">
        <f>IF($B128="","",TEXT($B128,"mmm yyyy"))</f>
        <v/>
      </c>
    </row>
    <row r="129" ht="18" customHeight="1">
      <c r="A129" s="14" t="n"/>
      <c r="B129" s="107" t="n"/>
      <c r="C129" s="81" t="n"/>
      <c r="D129" s="59" t="n"/>
      <c r="E129" s="104">
        <f>IF($C129="","",IFERROR(LOOKUP(2,1/((ISNUMBER(SEARCH('Category Rules'!$B$6:$B$75,$C129)))*('Category Rules'!$B$6:$B$75&lt;&gt;"")),'Category Rules'!$C$6:$C$75),"Uncategorized"))</f>
        <v/>
      </c>
      <c r="F129" s="108" t="n"/>
      <c r="G129" s="106">
        <f>IF($C129="","",IF($F129&lt;&gt;"",$F129,$E129))</f>
        <v/>
      </c>
      <c r="H129" s="82">
        <f>IF($B129="","",TEXT($B129,"mmm yyyy"))</f>
        <v/>
      </c>
    </row>
    <row r="130" ht="18" customHeight="1">
      <c r="A130" s="10" t="n"/>
      <c r="B130" s="109" t="n"/>
      <c r="C130" s="84" t="n"/>
      <c r="D130" s="52" t="n"/>
      <c r="E130" s="101">
        <f>IF($C130="","",IFERROR(LOOKUP(2,1/((ISNUMBER(SEARCH('Category Rules'!$B$6:$B$75,$C130)))*('Category Rules'!$B$6:$B$75&lt;&gt;"")),'Category Rules'!$C$6:$C$75),"Uncategorized"))</f>
        <v/>
      </c>
      <c r="F130" s="108" t="n"/>
      <c r="G130" s="103">
        <f>IF($C130="","",IF($F130&lt;&gt;"",$F130,$E130))</f>
        <v/>
      </c>
      <c r="H130" s="85">
        <f>IF($B130="","",TEXT($B130,"mmm yyyy"))</f>
        <v/>
      </c>
    </row>
    <row r="131" ht="18" customHeight="1">
      <c r="A131" s="14" t="n"/>
      <c r="B131" s="107" t="n"/>
      <c r="C131" s="81" t="n"/>
      <c r="D131" s="59" t="n"/>
      <c r="E131" s="104">
        <f>IF($C131="","",IFERROR(LOOKUP(2,1/((ISNUMBER(SEARCH('Category Rules'!$B$6:$B$75,$C131)))*('Category Rules'!$B$6:$B$75&lt;&gt;"")),'Category Rules'!$C$6:$C$75),"Uncategorized"))</f>
        <v/>
      </c>
      <c r="F131" s="108" t="n"/>
      <c r="G131" s="106">
        <f>IF($C131="","",IF($F131&lt;&gt;"",$F131,$E131))</f>
        <v/>
      </c>
      <c r="H131" s="82">
        <f>IF($B131="","",TEXT($B131,"mmm yyyy"))</f>
        <v/>
      </c>
    </row>
    <row r="132" ht="18" customHeight="1">
      <c r="A132" s="10" t="n"/>
      <c r="B132" s="109" t="n"/>
      <c r="C132" s="84" t="n"/>
      <c r="D132" s="52" t="n"/>
      <c r="E132" s="101">
        <f>IF($C132="","",IFERROR(LOOKUP(2,1/((ISNUMBER(SEARCH('Category Rules'!$B$6:$B$75,$C132)))*('Category Rules'!$B$6:$B$75&lt;&gt;"")),'Category Rules'!$C$6:$C$75),"Uncategorized"))</f>
        <v/>
      </c>
      <c r="F132" s="108" t="n"/>
      <c r="G132" s="103">
        <f>IF($C132="","",IF($F132&lt;&gt;"",$F132,$E132))</f>
        <v/>
      </c>
      <c r="H132" s="85">
        <f>IF($B132="","",TEXT($B132,"mmm yyyy"))</f>
        <v/>
      </c>
    </row>
    <row r="133" ht="18" customHeight="1">
      <c r="A133" s="14" t="n"/>
      <c r="B133" s="107" t="n"/>
      <c r="C133" s="81" t="n"/>
      <c r="D133" s="59" t="n"/>
      <c r="E133" s="104">
        <f>IF($C133="","",IFERROR(LOOKUP(2,1/((ISNUMBER(SEARCH('Category Rules'!$B$6:$B$75,$C133)))*('Category Rules'!$B$6:$B$75&lt;&gt;"")),'Category Rules'!$C$6:$C$75),"Uncategorized"))</f>
        <v/>
      </c>
      <c r="F133" s="108" t="n"/>
      <c r="G133" s="106">
        <f>IF($C133="","",IF($F133&lt;&gt;"",$F133,$E133))</f>
        <v/>
      </c>
      <c r="H133" s="82">
        <f>IF($B133="","",TEXT($B133,"mmm yyyy"))</f>
        <v/>
      </c>
    </row>
    <row r="134" ht="18" customHeight="1">
      <c r="A134" s="10" t="n"/>
      <c r="B134" s="109" t="n"/>
      <c r="C134" s="84" t="n"/>
      <c r="D134" s="52" t="n"/>
      <c r="E134" s="101">
        <f>IF($C134="","",IFERROR(LOOKUP(2,1/((ISNUMBER(SEARCH('Category Rules'!$B$6:$B$75,$C134)))*('Category Rules'!$B$6:$B$75&lt;&gt;"")),'Category Rules'!$C$6:$C$75),"Uncategorized"))</f>
        <v/>
      </c>
      <c r="F134" s="108" t="n"/>
      <c r="G134" s="103">
        <f>IF($C134="","",IF($F134&lt;&gt;"",$F134,$E134))</f>
        <v/>
      </c>
      <c r="H134" s="85">
        <f>IF($B134="","",TEXT($B134,"mmm yyyy"))</f>
        <v/>
      </c>
    </row>
    <row r="135" ht="18" customHeight="1">
      <c r="A135" s="14" t="n"/>
      <c r="B135" s="107" t="n"/>
      <c r="C135" s="81" t="n"/>
      <c r="D135" s="59" t="n"/>
      <c r="E135" s="104">
        <f>IF($C135="","",IFERROR(LOOKUP(2,1/((ISNUMBER(SEARCH('Category Rules'!$B$6:$B$75,$C135)))*('Category Rules'!$B$6:$B$75&lt;&gt;"")),'Category Rules'!$C$6:$C$75),"Uncategorized"))</f>
        <v/>
      </c>
      <c r="F135" s="108" t="n"/>
      <c r="G135" s="106">
        <f>IF($C135="","",IF($F135&lt;&gt;"",$F135,$E135))</f>
        <v/>
      </c>
      <c r="H135" s="82">
        <f>IF($B135="","",TEXT($B135,"mmm yyyy"))</f>
        <v/>
      </c>
    </row>
    <row r="136" ht="18" customHeight="1">
      <c r="A136" s="10" t="n"/>
      <c r="B136" s="109" t="n"/>
      <c r="C136" s="84" t="n"/>
      <c r="D136" s="52" t="n"/>
      <c r="E136" s="101">
        <f>IF($C136="","",IFERROR(LOOKUP(2,1/((ISNUMBER(SEARCH('Category Rules'!$B$6:$B$75,$C136)))*('Category Rules'!$B$6:$B$75&lt;&gt;"")),'Category Rules'!$C$6:$C$75),"Uncategorized"))</f>
        <v/>
      </c>
      <c r="F136" s="108" t="n"/>
      <c r="G136" s="103">
        <f>IF($C136="","",IF($F136&lt;&gt;"",$F136,$E136))</f>
        <v/>
      </c>
      <c r="H136" s="85">
        <f>IF($B136="","",TEXT($B136,"mmm yyyy"))</f>
        <v/>
      </c>
    </row>
    <row r="137" ht="18" customHeight="1">
      <c r="A137" s="14" t="n"/>
      <c r="B137" s="107" t="n"/>
      <c r="C137" s="81" t="n"/>
      <c r="D137" s="59" t="n"/>
      <c r="E137" s="104">
        <f>IF($C137="","",IFERROR(LOOKUP(2,1/((ISNUMBER(SEARCH('Category Rules'!$B$6:$B$75,$C137)))*('Category Rules'!$B$6:$B$75&lt;&gt;"")),'Category Rules'!$C$6:$C$75),"Uncategorized"))</f>
        <v/>
      </c>
      <c r="F137" s="108" t="n"/>
      <c r="G137" s="106">
        <f>IF($C137="","",IF($F137&lt;&gt;"",$F137,$E137))</f>
        <v/>
      </c>
      <c r="H137" s="82">
        <f>IF($B137="","",TEXT($B137,"mmm yyyy"))</f>
        <v/>
      </c>
    </row>
    <row r="138" ht="18" customHeight="1">
      <c r="A138" s="10" t="n"/>
      <c r="B138" s="109" t="n"/>
      <c r="C138" s="84" t="n"/>
      <c r="D138" s="52" t="n"/>
      <c r="E138" s="101">
        <f>IF($C138="","",IFERROR(LOOKUP(2,1/((ISNUMBER(SEARCH('Category Rules'!$B$6:$B$75,$C138)))*('Category Rules'!$B$6:$B$75&lt;&gt;"")),'Category Rules'!$C$6:$C$75),"Uncategorized"))</f>
        <v/>
      </c>
      <c r="F138" s="108" t="n"/>
      <c r="G138" s="103">
        <f>IF($C138="","",IF($F138&lt;&gt;"",$F138,$E138))</f>
        <v/>
      </c>
      <c r="H138" s="85">
        <f>IF($B138="","",TEXT($B138,"mmm yyyy"))</f>
        <v/>
      </c>
    </row>
    <row r="139" ht="18" customHeight="1">
      <c r="A139" s="14" t="n"/>
      <c r="B139" s="107" t="n"/>
      <c r="C139" s="81" t="n"/>
      <c r="D139" s="59" t="n"/>
      <c r="E139" s="104">
        <f>IF($C139="","",IFERROR(LOOKUP(2,1/((ISNUMBER(SEARCH('Category Rules'!$B$6:$B$75,$C139)))*('Category Rules'!$B$6:$B$75&lt;&gt;"")),'Category Rules'!$C$6:$C$75),"Uncategorized"))</f>
        <v/>
      </c>
      <c r="F139" s="108" t="n"/>
      <c r="G139" s="106">
        <f>IF($C139="","",IF($F139&lt;&gt;"",$F139,$E139))</f>
        <v/>
      </c>
      <c r="H139" s="82">
        <f>IF($B139="","",TEXT($B139,"mmm yyyy"))</f>
        <v/>
      </c>
    </row>
    <row r="140" ht="18" customHeight="1">
      <c r="A140" s="10" t="n"/>
      <c r="B140" s="109" t="n"/>
      <c r="C140" s="84" t="n"/>
      <c r="D140" s="52" t="n"/>
      <c r="E140" s="101">
        <f>IF($C140="","",IFERROR(LOOKUP(2,1/((ISNUMBER(SEARCH('Category Rules'!$B$6:$B$75,$C140)))*('Category Rules'!$B$6:$B$75&lt;&gt;"")),'Category Rules'!$C$6:$C$75),"Uncategorized"))</f>
        <v/>
      </c>
      <c r="F140" s="108" t="n"/>
      <c r="G140" s="103">
        <f>IF($C140="","",IF($F140&lt;&gt;"",$F140,$E140))</f>
        <v/>
      </c>
      <c r="H140" s="85">
        <f>IF($B140="","",TEXT($B140,"mmm yyyy"))</f>
        <v/>
      </c>
    </row>
    <row r="141" ht="18" customHeight="1">
      <c r="A141" s="14" t="n"/>
      <c r="B141" s="107" t="n"/>
      <c r="C141" s="81" t="n"/>
      <c r="D141" s="59" t="n"/>
      <c r="E141" s="104">
        <f>IF($C141="","",IFERROR(LOOKUP(2,1/((ISNUMBER(SEARCH('Category Rules'!$B$6:$B$75,$C141)))*('Category Rules'!$B$6:$B$75&lt;&gt;"")),'Category Rules'!$C$6:$C$75),"Uncategorized"))</f>
        <v/>
      </c>
      <c r="F141" s="108" t="n"/>
      <c r="G141" s="106">
        <f>IF($C141="","",IF($F141&lt;&gt;"",$F141,$E141))</f>
        <v/>
      </c>
      <c r="H141" s="82">
        <f>IF($B141="","",TEXT($B141,"mmm yyyy"))</f>
        <v/>
      </c>
    </row>
    <row r="142" ht="18" customHeight="1">
      <c r="A142" s="10" t="n"/>
      <c r="B142" s="109" t="n"/>
      <c r="C142" s="84" t="n"/>
      <c r="D142" s="52" t="n"/>
      <c r="E142" s="101">
        <f>IF($C142="","",IFERROR(LOOKUP(2,1/((ISNUMBER(SEARCH('Category Rules'!$B$6:$B$75,$C142)))*('Category Rules'!$B$6:$B$75&lt;&gt;"")),'Category Rules'!$C$6:$C$75),"Uncategorized"))</f>
        <v/>
      </c>
      <c r="F142" s="108" t="n"/>
      <c r="G142" s="103">
        <f>IF($C142="","",IF($F142&lt;&gt;"",$F142,$E142))</f>
        <v/>
      </c>
      <c r="H142" s="85">
        <f>IF($B142="","",TEXT($B142,"mmm yyyy"))</f>
        <v/>
      </c>
    </row>
    <row r="143" ht="18" customHeight="1">
      <c r="A143" s="14" t="n"/>
      <c r="B143" s="107" t="n"/>
      <c r="C143" s="81" t="n"/>
      <c r="D143" s="59" t="n"/>
      <c r="E143" s="104">
        <f>IF($C143="","",IFERROR(LOOKUP(2,1/((ISNUMBER(SEARCH('Category Rules'!$B$6:$B$75,$C143)))*('Category Rules'!$B$6:$B$75&lt;&gt;"")),'Category Rules'!$C$6:$C$75),"Uncategorized"))</f>
        <v/>
      </c>
      <c r="F143" s="108" t="n"/>
      <c r="G143" s="106">
        <f>IF($C143="","",IF($F143&lt;&gt;"",$F143,$E143))</f>
        <v/>
      </c>
      <c r="H143" s="82">
        <f>IF($B143="","",TEXT($B143,"mmm yyyy"))</f>
        <v/>
      </c>
    </row>
    <row r="144" ht="18" customHeight="1">
      <c r="A144" s="10" t="n"/>
      <c r="B144" s="109" t="n"/>
      <c r="C144" s="84" t="n"/>
      <c r="D144" s="52" t="n"/>
      <c r="E144" s="101">
        <f>IF($C144="","",IFERROR(LOOKUP(2,1/((ISNUMBER(SEARCH('Category Rules'!$B$6:$B$75,$C144)))*('Category Rules'!$B$6:$B$75&lt;&gt;"")),'Category Rules'!$C$6:$C$75),"Uncategorized"))</f>
        <v/>
      </c>
      <c r="F144" s="108" t="n"/>
      <c r="G144" s="103">
        <f>IF($C144="","",IF($F144&lt;&gt;"",$F144,$E144))</f>
        <v/>
      </c>
      <c r="H144" s="85">
        <f>IF($B144="","",TEXT($B144,"mmm yyyy"))</f>
        <v/>
      </c>
    </row>
    <row r="145" ht="18" customHeight="1">
      <c r="A145" s="14" t="n"/>
      <c r="B145" s="107" t="n"/>
      <c r="C145" s="81" t="n"/>
      <c r="D145" s="59" t="n"/>
      <c r="E145" s="104">
        <f>IF($C145="","",IFERROR(LOOKUP(2,1/((ISNUMBER(SEARCH('Category Rules'!$B$6:$B$75,$C145)))*('Category Rules'!$B$6:$B$75&lt;&gt;"")),'Category Rules'!$C$6:$C$75),"Uncategorized"))</f>
        <v/>
      </c>
      <c r="F145" s="108" t="n"/>
      <c r="G145" s="106">
        <f>IF($C145="","",IF($F145&lt;&gt;"",$F145,$E145))</f>
        <v/>
      </c>
      <c r="H145" s="82">
        <f>IF($B145="","",TEXT($B145,"mmm yyyy"))</f>
        <v/>
      </c>
    </row>
    <row r="146" ht="18" customHeight="1">
      <c r="A146" s="10" t="n"/>
      <c r="B146" s="109" t="n"/>
      <c r="C146" s="84" t="n"/>
      <c r="D146" s="52" t="n"/>
      <c r="E146" s="101">
        <f>IF($C146="","",IFERROR(LOOKUP(2,1/((ISNUMBER(SEARCH('Category Rules'!$B$6:$B$75,$C146)))*('Category Rules'!$B$6:$B$75&lt;&gt;"")),'Category Rules'!$C$6:$C$75),"Uncategorized"))</f>
        <v/>
      </c>
      <c r="F146" s="108" t="n"/>
      <c r="G146" s="103">
        <f>IF($C146="","",IF($F146&lt;&gt;"",$F146,$E146))</f>
        <v/>
      </c>
      <c r="H146" s="85">
        <f>IF($B146="","",TEXT($B146,"mmm yyyy"))</f>
        <v/>
      </c>
    </row>
    <row r="147" ht="18" customHeight="1">
      <c r="A147" s="14" t="n"/>
      <c r="B147" s="107" t="n"/>
      <c r="C147" s="81" t="n"/>
      <c r="D147" s="59" t="n"/>
      <c r="E147" s="104">
        <f>IF($C147="","",IFERROR(LOOKUP(2,1/((ISNUMBER(SEARCH('Category Rules'!$B$6:$B$75,$C147)))*('Category Rules'!$B$6:$B$75&lt;&gt;"")),'Category Rules'!$C$6:$C$75),"Uncategorized"))</f>
        <v/>
      </c>
      <c r="F147" s="108" t="n"/>
      <c r="G147" s="106">
        <f>IF($C147="","",IF($F147&lt;&gt;"",$F147,$E147))</f>
        <v/>
      </c>
      <c r="H147" s="82">
        <f>IF($B147="","",TEXT($B147,"mmm yyyy"))</f>
        <v/>
      </c>
    </row>
    <row r="148" ht="18" customHeight="1">
      <c r="A148" s="10" t="n"/>
      <c r="B148" s="109" t="n"/>
      <c r="C148" s="84" t="n"/>
      <c r="D148" s="52" t="n"/>
      <c r="E148" s="101">
        <f>IF($C148="","",IFERROR(LOOKUP(2,1/((ISNUMBER(SEARCH('Category Rules'!$B$6:$B$75,$C148)))*('Category Rules'!$B$6:$B$75&lt;&gt;"")),'Category Rules'!$C$6:$C$75),"Uncategorized"))</f>
        <v/>
      </c>
      <c r="F148" s="108" t="n"/>
      <c r="G148" s="103">
        <f>IF($C148="","",IF($F148&lt;&gt;"",$F148,$E148))</f>
        <v/>
      </c>
      <c r="H148" s="85">
        <f>IF($B148="","",TEXT($B148,"mmm yyyy"))</f>
        <v/>
      </c>
    </row>
    <row r="149" ht="18" customHeight="1">
      <c r="A149" s="14" t="n"/>
      <c r="B149" s="107" t="n"/>
      <c r="C149" s="81" t="n"/>
      <c r="D149" s="59" t="n"/>
      <c r="E149" s="104">
        <f>IF($C149="","",IFERROR(LOOKUP(2,1/((ISNUMBER(SEARCH('Category Rules'!$B$6:$B$75,$C149)))*('Category Rules'!$B$6:$B$75&lt;&gt;"")),'Category Rules'!$C$6:$C$75),"Uncategorized"))</f>
        <v/>
      </c>
      <c r="F149" s="108" t="n"/>
      <c r="G149" s="106">
        <f>IF($C149="","",IF($F149&lt;&gt;"",$F149,$E149))</f>
        <v/>
      </c>
      <c r="H149" s="82">
        <f>IF($B149="","",TEXT($B149,"mmm yyyy"))</f>
        <v/>
      </c>
    </row>
    <row r="150" ht="18" customHeight="1">
      <c r="A150" s="10" t="n"/>
      <c r="B150" s="109" t="n"/>
      <c r="C150" s="84" t="n"/>
      <c r="D150" s="52" t="n"/>
      <c r="E150" s="101">
        <f>IF($C150="","",IFERROR(LOOKUP(2,1/((ISNUMBER(SEARCH('Category Rules'!$B$6:$B$75,$C150)))*('Category Rules'!$B$6:$B$75&lt;&gt;"")),'Category Rules'!$C$6:$C$75),"Uncategorized"))</f>
        <v/>
      </c>
      <c r="F150" s="108" t="n"/>
      <c r="G150" s="103">
        <f>IF($C150="","",IF($F150&lt;&gt;"",$F150,$E150))</f>
        <v/>
      </c>
      <c r="H150" s="85">
        <f>IF($B150="","",TEXT($B150,"mmm yyyy"))</f>
        <v/>
      </c>
    </row>
    <row r="151" ht="18" customHeight="1">
      <c r="A151" s="14" t="n"/>
      <c r="B151" s="107" t="n"/>
      <c r="C151" s="81" t="n"/>
      <c r="D151" s="59" t="n"/>
      <c r="E151" s="104">
        <f>IF($C151="","",IFERROR(LOOKUP(2,1/((ISNUMBER(SEARCH('Category Rules'!$B$6:$B$75,$C151)))*('Category Rules'!$B$6:$B$75&lt;&gt;"")),'Category Rules'!$C$6:$C$75),"Uncategorized"))</f>
        <v/>
      </c>
      <c r="F151" s="108" t="n"/>
      <c r="G151" s="106">
        <f>IF($C151="","",IF($F151&lt;&gt;"",$F151,$E151))</f>
        <v/>
      </c>
      <c r="H151" s="82">
        <f>IF($B151="","",TEXT($B151,"mmm yyyy"))</f>
        <v/>
      </c>
    </row>
    <row r="152" ht="18" customHeight="1">
      <c r="A152" s="10" t="n"/>
      <c r="B152" s="109" t="n"/>
      <c r="C152" s="84" t="n"/>
      <c r="D152" s="52" t="n"/>
      <c r="E152" s="101">
        <f>IF($C152="","",IFERROR(LOOKUP(2,1/((ISNUMBER(SEARCH('Category Rules'!$B$6:$B$75,$C152)))*('Category Rules'!$B$6:$B$75&lt;&gt;"")),'Category Rules'!$C$6:$C$75),"Uncategorized"))</f>
        <v/>
      </c>
      <c r="F152" s="108" t="n"/>
      <c r="G152" s="103">
        <f>IF($C152="","",IF($F152&lt;&gt;"",$F152,$E152))</f>
        <v/>
      </c>
      <c r="H152" s="85">
        <f>IF($B152="","",TEXT($B152,"mmm yyyy"))</f>
        <v/>
      </c>
    </row>
    <row r="153" ht="18" customHeight="1">
      <c r="A153" s="14" t="n"/>
      <c r="B153" s="107" t="n"/>
      <c r="C153" s="81" t="n"/>
      <c r="D153" s="59" t="n"/>
      <c r="E153" s="104">
        <f>IF($C153="","",IFERROR(LOOKUP(2,1/((ISNUMBER(SEARCH('Category Rules'!$B$6:$B$75,$C153)))*('Category Rules'!$B$6:$B$75&lt;&gt;"")),'Category Rules'!$C$6:$C$75),"Uncategorized"))</f>
        <v/>
      </c>
      <c r="F153" s="108" t="n"/>
      <c r="G153" s="106">
        <f>IF($C153="","",IF($F153&lt;&gt;"",$F153,$E153))</f>
        <v/>
      </c>
      <c r="H153" s="82">
        <f>IF($B153="","",TEXT($B153,"mmm yyyy"))</f>
        <v/>
      </c>
    </row>
    <row r="154" ht="18" customHeight="1">
      <c r="A154" s="10" t="n"/>
      <c r="B154" s="109" t="n"/>
      <c r="C154" s="84" t="n"/>
      <c r="D154" s="52" t="n"/>
      <c r="E154" s="101">
        <f>IF($C154="","",IFERROR(LOOKUP(2,1/((ISNUMBER(SEARCH('Category Rules'!$B$6:$B$75,$C154)))*('Category Rules'!$B$6:$B$75&lt;&gt;"")),'Category Rules'!$C$6:$C$75),"Uncategorized"))</f>
        <v/>
      </c>
      <c r="F154" s="108" t="n"/>
      <c r="G154" s="103">
        <f>IF($C154="","",IF($F154&lt;&gt;"",$F154,$E154))</f>
        <v/>
      </c>
      <c r="H154" s="85">
        <f>IF($B154="","",TEXT($B154,"mmm yyyy"))</f>
        <v/>
      </c>
    </row>
    <row r="155" ht="18" customHeight="1">
      <c r="A155" s="14" t="n"/>
      <c r="B155" s="107" t="n"/>
      <c r="C155" s="81" t="n"/>
      <c r="D155" s="59" t="n"/>
      <c r="E155" s="104">
        <f>IF($C155="","",IFERROR(LOOKUP(2,1/((ISNUMBER(SEARCH('Category Rules'!$B$6:$B$75,$C155)))*('Category Rules'!$B$6:$B$75&lt;&gt;"")),'Category Rules'!$C$6:$C$75),"Uncategorized"))</f>
        <v/>
      </c>
      <c r="F155" s="108" t="n"/>
      <c r="G155" s="106">
        <f>IF($C155="","",IF($F155&lt;&gt;"",$F155,$E155))</f>
        <v/>
      </c>
      <c r="H155" s="82">
        <f>IF($B155="","",TEXT($B155,"mmm yyyy"))</f>
        <v/>
      </c>
    </row>
    <row r="156" ht="18" customHeight="1">
      <c r="A156" s="10" t="n"/>
      <c r="B156" s="109" t="n"/>
      <c r="C156" s="84" t="n"/>
      <c r="D156" s="52" t="n"/>
      <c r="E156" s="101">
        <f>IF($C156="","",IFERROR(LOOKUP(2,1/((ISNUMBER(SEARCH('Category Rules'!$B$6:$B$75,$C156)))*('Category Rules'!$B$6:$B$75&lt;&gt;"")),'Category Rules'!$C$6:$C$75),"Uncategorized"))</f>
        <v/>
      </c>
      <c r="F156" s="108" t="n"/>
      <c r="G156" s="103">
        <f>IF($C156="","",IF($F156&lt;&gt;"",$F156,$E156))</f>
        <v/>
      </c>
      <c r="H156" s="85">
        <f>IF($B156="","",TEXT($B156,"mmm yyyy"))</f>
        <v/>
      </c>
    </row>
    <row r="157" ht="18" customHeight="1">
      <c r="A157" s="14" t="n"/>
      <c r="B157" s="107" t="n"/>
      <c r="C157" s="81" t="n"/>
      <c r="D157" s="59" t="n"/>
      <c r="E157" s="104">
        <f>IF($C157="","",IFERROR(LOOKUP(2,1/((ISNUMBER(SEARCH('Category Rules'!$B$6:$B$75,$C157)))*('Category Rules'!$B$6:$B$75&lt;&gt;"")),'Category Rules'!$C$6:$C$75),"Uncategorized"))</f>
        <v/>
      </c>
      <c r="F157" s="108" t="n"/>
      <c r="G157" s="106">
        <f>IF($C157="","",IF($F157&lt;&gt;"",$F157,$E157))</f>
        <v/>
      </c>
      <c r="H157" s="82">
        <f>IF($B157="","",TEXT($B157,"mmm yyyy"))</f>
        <v/>
      </c>
    </row>
    <row r="158" ht="18" customHeight="1">
      <c r="A158" s="10" t="n"/>
      <c r="B158" s="109" t="n"/>
      <c r="C158" s="84" t="n"/>
      <c r="D158" s="52" t="n"/>
      <c r="E158" s="101">
        <f>IF($C158="","",IFERROR(LOOKUP(2,1/((ISNUMBER(SEARCH('Category Rules'!$B$6:$B$75,$C158)))*('Category Rules'!$B$6:$B$75&lt;&gt;"")),'Category Rules'!$C$6:$C$75),"Uncategorized"))</f>
        <v/>
      </c>
      <c r="F158" s="108" t="n"/>
      <c r="G158" s="103">
        <f>IF($C158="","",IF($F158&lt;&gt;"",$F158,$E158))</f>
        <v/>
      </c>
      <c r="H158" s="85">
        <f>IF($B158="","",TEXT($B158,"mmm yyyy"))</f>
        <v/>
      </c>
    </row>
    <row r="159" ht="18" customHeight="1">
      <c r="A159" s="14" t="n"/>
      <c r="B159" s="107" t="n"/>
      <c r="C159" s="81" t="n"/>
      <c r="D159" s="59" t="n"/>
      <c r="E159" s="104">
        <f>IF($C159="","",IFERROR(LOOKUP(2,1/((ISNUMBER(SEARCH('Category Rules'!$B$6:$B$75,$C159)))*('Category Rules'!$B$6:$B$75&lt;&gt;"")),'Category Rules'!$C$6:$C$75),"Uncategorized"))</f>
        <v/>
      </c>
      <c r="F159" s="108" t="n"/>
      <c r="G159" s="106">
        <f>IF($C159="","",IF($F159&lt;&gt;"",$F159,$E159))</f>
        <v/>
      </c>
      <c r="H159" s="82">
        <f>IF($B159="","",TEXT($B159,"mmm yyyy"))</f>
        <v/>
      </c>
    </row>
    <row r="160" ht="18" customHeight="1">
      <c r="A160" s="10" t="n"/>
      <c r="B160" s="109" t="n"/>
      <c r="C160" s="84" t="n"/>
      <c r="D160" s="52" t="n"/>
      <c r="E160" s="101">
        <f>IF($C160="","",IFERROR(LOOKUP(2,1/((ISNUMBER(SEARCH('Category Rules'!$B$6:$B$75,$C160)))*('Category Rules'!$B$6:$B$75&lt;&gt;"")),'Category Rules'!$C$6:$C$75),"Uncategorized"))</f>
        <v/>
      </c>
      <c r="F160" s="108" t="n"/>
      <c r="G160" s="103">
        <f>IF($C160="","",IF($F160&lt;&gt;"",$F160,$E160))</f>
        <v/>
      </c>
      <c r="H160" s="85">
        <f>IF($B160="","",TEXT($B160,"mmm yyyy"))</f>
        <v/>
      </c>
    </row>
    <row r="161" ht="18" customHeight="1">
      <c r="A161" s="14" t="n"/>
      <c r="B161" s="107" t="n"/>
      <c r="C161" s="81" t="n"/>
      <c r="D161" s="59" t="n"/>
      <c r="E161" s="104">
        <f>IF($C161="","",IFERROR(LOOKUP(2,1/((ISNUMBER(SEARCH('Category Rules'!$B$6:$B$75,$C161)))*('Category Rules'!$B$6:$B$75&lt;&gt;"")),'Category Rules'!$C$6:$C$75),"Uncategorized"))</f>
        <v/>
      </c>
      <c r="F161" s="108" t="n"/>
      <c r="G161" s="106">
        <f>IF($C161="","",IF($F161&lt;&gt;"",$F161,$E161))</f>
        <v/>
      </c>
      <c r="H161" s="82">
        <f>IF($B161="","",TEXT($B161,"mmm yyyy"))</f>
        <v/>
      </c>
    </row>
    <row r="162" ht="18" customHeight="1">
      <c r="A162" s="10" t="n"/>
      <c r="B162" s="109" t="n"/>
      <c r="C162" s="84" t="n"/>
      <c r="D162" s="52" t="n"/>
      <c r="E162" s="101">
        <f>IF($C162="","",IFERROR(LOOKUP(2,1/((ISNUMBER(SEARCH('Category Rules'!$B$6:$B$75,$C162)))*('Category Rules'!$B$6:$B$75&lt;&gt;"")),'Category Rules'!$C$6:$C$75),"Uncategorized"))</f>
        <v/>
      </c>
      <c r="F162" s="108" t="n"/>
      <c r="G162" s="103">
        <f>IF($C162="","",IF($F162&lt;&gt;"",$F162,$E162))</f>
        <v/>
      </c>
      <c r="H162" s="85">
        <f>IF($B162="","",TEXT($B162,"mmm yyyy"))</f>
        <v/>
      </c>
    </row>
    <row r="163" ht="18" customHeight="1">
      <c r="A163" s="14" t="n"/>
      <c r="B163" s="107" t="n"/>
      <c r="C163" s="81" t="n"/>
      <c r="D163" s="59" t="n"/>
      <c r="E163" s="104">
        <f>IF($C163="","",IFERROR(LOOKUP(2,1/((ISNUMBER(SEARCH('Category Rules'!$B$6:$B$75,$C163)))*('Category Rules'!$B$6:$B$75&lt;&gt;"")),'Category Rules'!$C$6:$C$75),"Uncategorized"))</f>
        <v/>
      </c>
      <c r="F163" s="108" t="n"/>
      <c r="G163" s="106">
        <f>IF($C163="","",IF($F163&lt;&gt;"",$F163,$E163))</f>
        <v/>
      </c>
      <c r="H163" s="82">
        <f>IF($B163="","",TEXT($B163,"mmm yyyy"))</f>
        <v/>
      </c>
    </row>
    <row r="164" ht="18" customHeight="1">
      <c r="A164" s="10" t="n"/>
      <c r="B164" s="109" t="n"/>
      <c r="C164" s="84" t="n"/>
      <c r="D164" s="52" t="n"/>
      <c r="E164" s="101">
        <f>IF($C164="","",IFERROR(LOOKUP(2,1/((ISNUMBER(SEARCH('Category Rules'!$B$6:$B$75,$C164)))*('Category Rules'!$B$6:$B$75&lt;&gt;"")),'Category Rules'!$C$6:$C$75),"Uncategorized"))</f>
        <v/>
      </c>
      <c r="F164" s="108" t="n"/>
      <c r="G164" s="103">
        <f>IF($C164="","",IF($F164&lt;&gt;"",$F164,$E164))</f>
        <v/>
      </c>
      <c r="H164" s="85">
        <f>IF($B164="","",TEXT($B164,"mmm yyyy"))</f>
        <v/>
      </c>
    </row>
    <row r="165" ht="18" customHeight="1">
      <c r="A165" s="14" t="n"/>
      <c r="B165" s="107" t="n"/>
      <c r="C165" s="81" t="n"/>
      <c r="D165" s="59" t="n"/>
      <c r="E165" s="104">
        <f>IF($C165="","",IFERROR(LOOKUP(2,1/((ISNUMBER(SEARCH('Category Rules'!$B$6:$B$75,$C165)))*('Category Rules'!$B$6:$B$75&lt;&gt;"")),'Category Rules'!$C$6:$C$75),"Uncategorized"))</f>
        <v/>
      </c>
      <c r="F165" s="108" t="n"/>
      <c r="G165" s="106">
        <f>IF($C165="","",IF($F165&lt;&gt;"",$F165,$E165))</f>
        <v/>
      </c>
      <c r="H165" s="82">
        <f>IF($B165="","",TEXT($B165,"mmm yyyy"))</f>
        <v/>
      </c>
    </row>
    <row r="166" ht="18" customHeight="1">
      <c r="A166" s="10" t="n"/>
      <c r="B166" s="109" t="n"/>
      <c r="C166" s="84" t="n"/>
      <c r="D166" s="52" t="n"/>
      <c r="E166" s="101">
        <f>IF($C166="","",IFERROR(LOOKUP(2,1/((ISNUMBER(SEARCH('Category Rules'!$B$6:$B$75,$C166)))*('Category Rules'!$B$6:$B$75&lt;&gt;"")),'Category Rules'!$C$6:$C$75),"Uncategorized"))</f>
        <v/>
      </c>
      <c r="F166" s="108" t="n"/>
      <c r="G166" s="103">
        <f>IF($C166="","",IF($F166&lt;&gt;"",$F166,$E166))</f>
        <v/>
      </c>
      <c r="H166" s="85">
        <f>IF($B166="","",TEXT($B166,"mmm yyyy"))</f>
        <v/>
      </c>
    </row>
    <row r="167" ht="18" customHeight="1">
      <c r="A167" s="14" t="n"/>
      <c r="B167" s="107" t="n"/>
      <c r="C167" s="81" t="n"/>
      <c r="D167" s="59" t="n"/>
      <c r="E167" s="104">
        <f>IF($C167="","",IFERROR(LOOKUP(2,1/((ISNUMBER(SEARCH('Category Rules'!$B$6:$B$75,$C167)))*('Category Rules'!$B$6:$B$75&lt;&gt;"")),'Category Rules'!$C$6:$C$75),"Uncategorized"))</f>
        <v/>
      </c>
      <c r="F167" s="108" t="n"/>
      <c r="G167" s="106">
        <f>IF($C167="","",IF($F167&lt;&gt;"",$F167,$E167))</f>
        <v/>
      </c>
      <c r="H167" s="82">
        <f>IF($B167="","",TEXT($B167,"mmm yyyy"))</f>
        <v/>
      </c>
    </row>
    <row r="168" ht="18" customHeight="1">
      <c r="A168" s="10" t="n"/>
      <c r="B168" s="109" t="n"/>
      <c r="C168" s="84" t="n"/>
      <c r="D168" s="52" t="n"/>
      <c r="E168" s="101">
        <f>IF($C168="","",IFERROR(LOOKUP(2,1/((ISNUMBER(SEARCH('Category Rules'!$B$6:$B$75,$C168)))*('Category Rules'!$B$6:$B$75&lt;&gt;"")),'Category Rules'!$C$6:$C$75),"Uncategorized"))</f>
        <v/>
      </c>
      <c r="F168" s="108" t="n"/>
      <c r="G168" s="103">
        <f>IF($C168="","",IF($F168&lt;&gt;"",$F168,$E168))</f>
        <v/>
      </c>
      <c r="H168" s="85">
        <f>IF($B168="","",TEXT($B168,"mmm yyyy"))</f>
        <v/>
      </c>
    </row>
    <row r="169" ht="18" customHeight="1">
      <c r="A169" s="14" t="n"/>
      <c r="B169" s="107" t="n"/>
      <c r="C169" s="81" t="n"/>
      <c r="D169" s="59" t="n"/>
      <c r="E169" s="104">
        <f>IF($C169="","",IFERROR(LOOKUP(2,1/((ISNUMBER(SEARCH('Category Rules'!$B$6:$B$75,$C169)))*('Category Rules'!$B$6:$B$75&lt;&gt;"")),'Category Rules'!$C$6:$C$75),"Uncategorized"))</f>
        <v/>
      </c>
      <c r="F169" s="108" t="n"/>
      <c r="G169" s="106">
        <f>IF($C169="","",IF($F169&lt;&gt;"",$F169,$E169))</f>
        <v/>
      </c>
      <c r="H169" s="82">
        <f>IF($B169="","",TEXT($B169,"mmm yyyy"))</f>
        <v/>
      </c>
    </row>
    <row r="170" ht="18" customHeight="1">
      <c r="A170" s="10" t="n"/>
      <c r="B170" s="109" t="n"/>
      <c r="C170" s="84" t="n"/>
      <c r="D170" s="52" t="n"/>
      <c r="E170" s="101">
        <f>IF($C170="","",IFERROR(LOOKUP(2,1/((ISNUMBER(SEARCH('Category Rules'!$B$6:$B$75,$C170)))*('Category Rules'!$B$6:$B$75&lt;&gt;"")),'Category Rules'!$C$6:$C$75),"Uncategorized"))</f>
        <v/>
      </c>
      <c r="F170" s="108" t="n"/>
      <c r="G170" s="103">
        <f>IF($C170="","",IF($F170&lt;&gt;"",$F170,$E170))</f>
        <v/>
      </c>
      <c r="H170" s="85">
        <f>IF($B170="","",TEXT($B170,"mmm yyyy"))</f>
        <v/>
      </c>
    </row>
    <row r="171" ht="18" customHeight="1">
      <c r="A171" s="14" t="n"/>
      <c r="B171" s="107" t="n"/>
      <c r="C171" s="81" t="n"/>
      <c r="D171" s="59" t="n"/>
      <c r="E171" s="104">
        <f>IF($C171="","",IFERROR(LOOKUP(2,1/((ISNUMBER(SEARCH('Category Rules'!$B$6:$B$75,$C171)))*('Category Rules'!$B$6:$B$75&lt;&gt;"")),'Category Rules'!$C$6:$C$75),"Uncategorized"))</f>
        <v/>
      </c>
      <c r="F171" s="108" t="n"/>
      <c r="G171" s="106">
        <f>IF($C171="","",IF($F171&lt;&gt;"",$F171,$E171))</f>
        <v/>
      </c>
      <c r="H171" s="82">
        <f>IF($B171="","",TEXT($B171,"mmm yyyy"))</f>
        <v/>
      </c>
    </row>
    <row r="172" ht="18" customHeight="1">
      <c r="A172" s="10" t="n"/>
      <c r="B172" s="109" t="n"/>
      <c r="C172" s="84" t="n"/>
      <c r="D172" s="52" t="n"/>
      <c r="E172" s="101">
        <f>IF($C172="","",IFERROR(LOOKUP(2,1/((ISNUMBER(SEARCH('Category Rules'!$B$6:$B$75,$C172)))*('Category Rules'!$B$6:$B$75&lt;&gt;"")),'Category Rules'!$C$6:$C$75),"Uncategorized"))</f>
        <v/>
      </c>
      <c r="F172" s="108" t="n"/>
      <c r="G172" s="103">
        <f>IF($C172="","",IF($F172&lt;&gt;"",$F172,$E172))</f>
        <v/>
      </c>
      <c r="H172" s="85">
        <f>IF($B172="","",TEXT($B172,"mmm yyyy"))</f>
        <v/>
      </c>
    </row>
    <row r="173" ht="18" customHeight="1">
      <c r="A173" s="14" t="n"/>
      <c r="B173" s="107" t="n"/>
      <c r="C173" s="81" t="n"/>
      <c r="D173" s="59" t="n"/>
      <c r="E173" s="104">
        <f>IF($C173="","",IFERROR(LOOKUP(2,1/((ISNUMBER(SEARCH('Category Rules'!$B$6:$B$75,$C173)))*('Category Rules'!$B$6:$B$75&lt;&gt;"")),'Category Rules'!$C$6:$C$75),"Uncategorized"))</f>
        <v/>
      </c>
      <c r="F173" s="108" t="n"/>
      <c r="G173" s="106">
        <f>IF($C173="","",IF($F173&lt;&gt;"",$F173,$E173))</f>
        <v/>
      </c>
      <c r="H173" s="82">
        <f>IF($B173="","",TEXT($B173,"mmm yyyy"))</f>
        <v/>
      </c>
    </row>
    <row r="174" ht="18" customHeight="1">
      <c r="A174" s="10" t="n"/>
      <c r="B174" s="109" t="n"/>
      <c r="C174" s="84" t="n"/>
      <c r="D174" s="52" t="n"/>
      <c r="E174" s="101">
        <f>IF($C174="","",IFERROR(LOOKUP(2,1/((ISNUMBER(SEARCH('Category Rules'!$B$6:$B$75,$C174)))*('Category Rules'!$B$6:$B$75&lt;&gt;"")),'Category Rules'!$C$6:$C$75),"Uncategorized"))</f>
        <v/>
      </c>
      <c r="F174" s="108" t="n"/>
      <c r="G174" s="103">
        <f>IF($C174="","",IF($F174&lt;&gt;"",$F174,$E174))</f>
        <v/>
      </c>
      <c r="H174" s="85">
        <f>IF($B174="","",TEXT($B174,"mmm yyyy"))</f>
        <v/>
      </c>
    </row>
    <row r="175" ht="18" customHeight="1">
      <c r="A175" s="14" t="n"/>
      <c r="B175" s="107" t="n"/>
      <c r="C175" s="81" t="n"/>
      <c r="D175" s="59" t="n"/>
      <c r="E175" s="104">
        <f>IF($C175="","",IFERROR(LOOKUP(2,1/((ISNUMBER(SEARCH('Category Rules'!$B$6:$B$75,$C175)))*('Category Rules'!$B$6:$B$75&lt;&gt;"")),'Category Rules'!$C$6:$C$75),"Uncategorized"))</f>
        <v/>
      </c>
      <c r="F175" s="108" t="n"/>
      <c r="G175" s="106">
        <f>IF($C175="","",IF($F175&lt;&gt;"",$F175,$E175))</f>
        <v/>
      </c>
      <c r="H175" s="82">
        <f>IF($B175="","",TEXT($B175,"mmm yyyy"))</f>
        <v/>
      </c>
    </row>
    <row r="176" ht="18" customHeight="1">
      <c r="A176" s="10" t="n"/>
      <c r="B176" s="109" t="n"/>
      <c r="C176" s="84" t="n"/>
      <c r="D176" s="52" t="n"/>
      <c r="E176" s="101">
        <f>IF($C176="","",IFERROR(LOOKUP(2,1/((ISNUMBER(SEARCH('Category Rules'!$B$6:$B$75,$C176)))*('Category Rules'!$B$6:$B$75&lt;&gt;"")),'Category Rules'!$C$6:$C$75),"Uncategorized"))</f>
        <v/>
      </c>
      <c r="F176" s="108" t="n"/>
      <c r="G176" s="103">
        <f>IF($C176="","",IF($F176&lt;&gt;"",$F176,$E176))</f>
        <v/>
      </c>
      <c r="H176" s="85">
        <f>IF($B176="","",TEXT($B176,"mmm yyyy"))</f>
        <v/>
      </c>
    </row>
    <row r="177" ht="18" customHeight="1">
      <c r="A177" s="14" t="n"/>
      <c r="B177" s="107" t="n"/>
      <c r="C177" s="81" t="n"/>
      <c r="D177" s="59" t="n"/>
      <c r="E177" s="104">
        <f>IF($C177="","",IFERROR(LOOKUP(2,1/((ISNUMBER(SEARCH('Category Rules'!$B$6:$B$75,$C177)))*('Category Rules'!$B$6:$B$75&lt;&gt;"")),'Category Rules'!$C$6:$C$75),"Uncategorized"))</f>
        <v/>
      </c>
      <c r="F177" s="108" t="n"/>
      <c r="G177" s="106">
        <f>IF($C177="","",IF($F177&lt;&gt;"",$F177,$E177))</f>
        <v/>
      </c>
      <c r="H177" s="82">
        <f>IF($B177="","",TEXT($B177,"mmm yyyy"))</f>
        <v/>
      </c>
    </row>
    <row r="178" ht="18" customHeight="1">
      <c r="A178" s="10" t="n"/>
      <c r="B178" s="109" t="n"/>
      <c r="C178" s="84" t="n"/>
      <c r="D178" s="52" t="n"/>
      <c r="E178" s="101">
        <f>IF($C178="","",IFERROR(LOOKUP(2,1/((ISNUMBER(SEARCH('Category Rules'!$B$6:$B$75,$C178)))*('Category Rules'!$B$6:$B$75&lt;&gt;"")),'Category Rules'!$C$6:$C$75),"Uncategorized"))</f>
        <v/>
      </c>
      <c r="F178" s="108" t="n"/>
      <c r="G178" s="103">
        <f>IF($C178="","",IF($F178&lt;&gt;"",$F178,$E178))</f>
        <v/>
      </c>
      <c r="H178" s="85">
        <f>IF($B178="","",TEXT($B178,"mmm yyyy"))</f>
        <v/>
      </c>
    </row>
    <row r="179" ht="18" customHeight="1">
      <c r="A179" s="14" t="n"/>
      <c r="B179" s="107" t="n"/>
      <c r="C179" s="81" t="n"/>
      <c r="D179" s="59" t="n"/>
      <c r="E179" s="104">
        <f>IF($C179="","",IFERROR(LOOKUP(2,1/((ISNUMBER(SEARCH('Category Rules'!$B$6:$B$75,$C179)))*('Category Rules'!$B$6:$B$75&lt;&gt;"")),'Category Rules'!$C$6:$C$75),"Uncategorized"))</f>
        <v/>
      </c>
      <c r="F179" s="108" t="n"/>
      <c r="G179" s="106">
        <f>IF($C179="","",IF($F179&lt;&gt;"",$F179,$E179))</f>
        <v/>
      </c>
      <c r="H179" s="82">
        <f>IF($B179="","",TEXT($B179,"mmm yyyy"))</f>
        <v/>
      </c>
    </row>
    <row r="180" ht="18" customHeight="1">
      <c r="A180" s="10" t="n"/>
      <c r="B180" s="109" t="n"/>
      <c r="C180" s="84" t="n"/>
      <c r="D180" s="52" t="n"/>
      <c r="E180" s="101">
        <f>IF($C180="","",IFERROR(LOOKUP(2,1/((ISNUMBER(SEARCH('Category Rules'!$B$6:$B$75,$C180)))*('Category Rules'!$B$6:$B$75&lt;&gt;"")),'Category Rules'!$C$6:$C$75),"Uncategorized"))</f>
        <v/>
      </c>
      <c r="F180" s="108" t="n"/>
      <c r="G180" s="103">
        <f>IF($C180="","",IF($F180&lt;&gt;"",$F180,$E180))</f>
        <v/>
      </c>
      <c r="H180" s="85">
        <f>IF($B180="","",TEXT($B180,"mmm yyyy"))</f>
        <v/>
      </c>
    </row>
    <row r="181" ht="18" customHeight="1">
      <c r="A181" s="14" t="n"/>
      <c r="B181" s="107" t="n"/>
      <c r="C181" s="81" t="n"/>
      <c r="D181" s="59" t="n"/>
      <c r="E181" s="104">
        <f>IF($C181="","",IFERROR(LOOKUP(2,1/((ISNUMBER(SEARCH('Category Rules'!$B$6:$B$75,$C181)))*('Category Rules'!$B$6:$B$75&lt;&gt;"")),'Category Rules'!$C$6:$C$75),"Uncategorized"))</f>
        <v/>
      </c>
      <c r="F181" s="108" t="n"/>
      <c r="G181" s="106">
        <f>IF($C181="","",IF($F181&lt;&gt;"",$F181,$E181))</f>
        <v/>
      </c>
      <c r="H181" s="82">
        <f>IF($B181="","",TEXT($B181,"mmm yyyy"))</f>
        <v/>
      </c>
    </row>
    <row r="182" ht="18" customHeight="1">
      <c r="A182" s="10" t="n"/>
      <c r="B182" s="109" t="n"/>
      <c r="C182" s="84" t="n"/>
      <c r="D182" s="52" t="n"/>
      <c r="E182" s="101">
        <f>IF($C182="","",IFERROR(LOOKUP(2,1/((ISNUMBER(SEARCH('Category Rules'!$B$6:$B$75,$C182)))*('Category Rules'!$B$6:$B$75&lt;&gt;"")),'Category Rules'!$C$6:$C$75),"Uncategorized"))</f>
        <v/>
      </c>
      <c r="F182" s="108" t="n"/>
      <c r="G182" s="103">
        <f>IF($C182="","",IF($F182&lt;&gt;"",$F182,$E182))</f>
        <v/>
      </c>
      <c r="H182" s="85">
        <f>IF($B182="","",TEXT($B182,"mmm yyyy"))</f>
        <v/>
      </c>
    </row>
    <row r="183" ht="18" customHeight="1">
      <c r="A183" s="14" t="n"/>
      <c r="B183" s="107" t="n"/>
      <c r="C183" s="81" t="n"/>
      <c r="D183" s="59" t="n"/>
      <c r="E183" s="104">
        <f>IF($C183="","",IFERROR(LOOKUP(2,1/((ISNUMBER(SEARCH('Category Rules'!$B$6:$B$75,$C183)))*('Category Rules'!$B$6:$B$75&lt;&gt;"")),'Category Rules'!$C$6:$C$75),"Uncategorized"))</f>
        <v/>
      </c>
      <c r="F183" s="108" t="n"/>
      <c r="G183" s="106">
        <f>IF($C183="","",IF($F183&lt;&gt;"",$F183,$E183))</f>
        <v/>
      </c>
      <c r="H183" s="82">
        <f>IF($B183="","",TEXT($B183,"mmm yyyy"))</f>
        <v/>
      </c>
    </row>
    <row r="184" ht="18" customHeight="1">
      <c r="A184" s="10" t="n"/>
      <c r="B184" s="109" t="n"/>
      <c r="C184" s="84" t="n"/>
      <c r="D184" s="52" t="n"/>
      <c r="E184" s="101">
        <f>IF($C184="","",IFERROR(LOOKUP(2,1/((ISNUMBER(SEARCH('Category Rules'!$B$6:$B$75,$C184)))*('Category Rules'!$B$6:$B$75&lt;&gt;"")),'Category Rules'!$C$6:$C$75),"Uncategorized"))</f>
        <v/>
      </c>
      <c r="F184" s="108" t="n"/>
      <c r="G184" s="103">
        <f>IF($C184="","",IF($F184&lt;&gt;"",$F184,$E184))</f>
        <v/>
      </c>
      <c r="H184" s="85">
        <f>IF($B184="","",TEXT($B184,"mmm yyyy"))</f>
        <v/>
      </c>
    </row>
    <row r="185" ht="18" customHeight="1">
      <c r="A185" s="14" t="n"/>
      <c r="B185" s="107" t="n"/>
      <c r="C185" s="81" t="n"/>
      <c r="D185" s="59" t="n"/>
      <c r="E185" s="104">
        <f>IF($C185="","",IFERROR(LOOKUP(2,1/((ISNUMBER(SEARCH('Category Rules'!$B$6:$B$75,$C185)))*('Category Rules'!$B$6:$B$75&lt;&gt;"")),'Category Rules'!$C$6:$C$75),"Uncategorized"))</f>
        <v/>
      </c>
      <c r="F185" s="108" t="n"/>
      <c r="G185" s="106">
        <f>IF($C185="","",IF($F185&lt;&gt;"",$F185,$E185))</f>
        <v/>
      </c>
      <c r="H185" s="82">
        <f>IF($B185="","",TEXT($B185,"mmm yyyy"))</f>
        <v/>
      </c>
    </row>
    <row r="186" ht="18" customHeight="1">
      <c r="A186" s="10" t="n"/>
      <c r="B186" s="109" t="n"/>
      <c r="C186" s="84" t="n"/>
      <c r="D186" s="52" t="n"/>
      <c r="E186" s="101">
        <f>IF($C186="","",IFERROR(LOOKUP(2,1/((ISNUMBER(SEARCH('Category Rules'!$B$6:$B$75,$C186)))*('Category Rules'!$B$6:$B$75&lt;&gt;"")),'Category Rules'!$C$6:$C$75),"Uncategorized"))</f>
        <v/>
      </c>
      <c r="F186" s="108" t="n"/>
      <c r="G186" s="103">
        <f>IF($C186="","",IF($F186&lt;&gt;"",$F186,$E186))</f>
        <v/>
      </c>
      <c r="H186" s="85">
        <f>IF($B186="","",TEXT($B186,"mmm yyyy"))</f>
        <v/>
      </c>
    </row>
    <row r="187" ht="18" customHeight="1">
      <c r="A187" s="14" t="n"/>
      <c r="B187" s="107" t="n"/>
      <c r="C187" s="81" t="n"/>
      <c r="D187" s="59" t="n"/>
      <c r="E187" s="104">
        <f>IF($C187="","",IFERROR(LOOKUP(2,1/((ISNUMBER(SEARCH('Category Rules'!$B$6:$B$75,$C187)))*('Category Rules'!$B$6:$B$75&lt;&gt;"")),'Category Rules'!$C$6:$C$75),"Uncategorized"))</f>
        <v/>
      </c>
      <c r="F187" s="108" t="n"/>
      <c r="G187" s="106">
        <f>IF($C187="","",IF($F187&lt;&gt;"",$F187,$E187))</f>
        <v/>
      </c>
      <c r="H187" s="82">
        <f>IF($B187="","",TEXT($B187,"mmm yyyy"))</f>
        <v/>
      </c>
    </row>
    <row r="188" ht="18" customHeight="1">
      <c r="A188" s="10" t="n"/>
      <c r="B188" s="109" t="n"/>
      <c r="C188" s="84" t="n"/>
      <c r="D188" s="52" t="n"/>
      <c r="E188" s="101">
        <f>IF($C188="","",IFERROR(LOOKUP(2,1/((ISNUMBER(SEARCH('Category Rules'!$B$6:$B$75,$C188)))*('Category Rules'!$B$6:$B$75&lt;&gt;"")),'Category Rules'!$C$6:$C$75),"Uncategorized"))</f>
        <v/>
      </c>
      <c r="F188" s="108" t="n"/>
      <c r="G188" s="103">
        <f>IF($C188="","",IF($F188&lt;&gt;"",$F188,$E188))</f>
        <v/>
      </c>
      <c r="H188" s="85">
        <f>IF($B188="","",TEXT($B188,"mmm yyyy"))</f>
        <v/>
      </c>
    </row>
    <row r="189" ht="18" customHeight="1">
      <c r="A189" s="14" t="n"/>
      <c r="B189" s="107" t="n"/>
      <c r="C189" s="81" t="n"/>
      <c r="D189" s="59" t="n"/>
      <c r="E189" s="104">
        <f>IF($C189="","",IFERROR(LOOKUP(2,1/((ISNUMBER(SEARCH('Category Rules'!$B$6:$B$75,$C189)))*('Category Rules'!$B$6:$B$75&lt;&gt;"")),'Category Rules'!$C$6:$C$75),"Uncategorized"))</f>
        <v/>
      </c>
      <c r="F189" s="108" t="n"/>
      <c r="G189" s="106">
        <f>IF($C189="","",IF($F189&lt;&gt;"",$F189,$E189))</f>
        <v/>
      </c>
      <c r="H189" s="82">
        <f>IF($B189="","",TEXT($B189,"mmm yyyy"))</f>
        <v/>
      </c>
    </row>
    <row r="190" ht="18" customHeight="1">
      <c r="A190" s="10" t="n"/>
      <c r="B190" s="109" t="n"/>
      <c r="C190" s="84" t="n"/>
      <c r="D190" s="52" t="n"/>
      <c r="E190" s="101">
        <f>IF($C190="","",IFERROR(LOOKUP(2,1/((ISNUMBER(SEARCH('Category Rules'!$B$6:$B$75,$C190)))*('Category Rules'!$B$6:$B$75&lt;&gt;"")),'Category Rules'!$C$6:$C$75),"Uncategorized"))</f>
        <v/>
      </c>
      <c r="F190" s="108" t="n"/>
      <c r="G190" s="103">
        <f>IF($C190="","",IF($F190&lt;&gt;"",$F190,$E190))</f>
        <v/>
      </c>
      <c r="H190" s="85">
        <f>IF($B190="","",TEXT($B190,"mmm yyyy"))</f>
        <v/>
      </c>
    </row>
    <row r="191" ht="18" customHeight="1">
      <c r="A191" s="14" t="n"/>
      <c r="B191" s="107" t="n"/>
      <c r="C191" s="81" t="n"/>
      <c r="D191" s="59" t="n"/>
      <c r="E191" s="104">
        <f>IF($C191="","",IFERROR(LOOKUP(2,1/((ISNUMBER(SEARCH('Category Rules'!$B$6:$B$75,$C191)))*('Category Rules'!$B$6:$B$75&lt;&gt;"")),'Category Rules'!$C$6:$C$75),"Uncategorized"))</f>
        <v/>
      </c>
      <c r="F191" s="108" t="n"/>
      <c r="G191" s="106">
        <f>IF($C191="","",IF($F191&lt;&gt;"",$F191,$E191))</f>
        <v/>
      </c>
      <c r="H191" s="82">
        <f>IF($B191="","",TEXT($B191,"mmm yyyy"))</f>
        <v/>
      </c>
    </row>
    <row r="192" ht="18" customHeight="1">
      <c r="A192" s="10" t="n"/>
      <c r="B192" s="109" t="n"/>
      <c r="C192" s="84" t="n"/>
      <c r="D192" s="52" t="n"/>
      <c r="E192" s="101">
        <f>IF($C192="","",IFERROR(LOOKUP(2,1/((ISNUMBER(SEARCH('Category Rules'!$B$6:$B$75,$C192)))*('Category Rules'!$B$6:$B$75&lt;&gt;"")),'Category Rules'!$C$6:$C$75),"Uncategorized"))</f>
        <v/>
      </c>
      <c r="F192" s="108" t="n"/>
      <c r="G192" s="103">
        <f>IF($C192="","",IF($F192&lt;&gt;"",$F192,$E192))</f>
        <v/>
      </c>
      <c r="H192" s="85">
        <f>IF($B192="","",TEXT($B192,"mmm yyyy"))</f>
        <v/>
      </c>
    </row>
    <row r="193" ht="18" customHeight="1">
      <c r="A193" s="14" t="n"/>
      <c r="B193" s="107" t="n"/>
      <c r="C193" s="81" t="n"/>
      <c r="D193" s="59" t="n"/>
      <c r="E193" s="104">
        <f>IF($C193="","",IFERROR(LOOKUP(2,1/((ISNUMBER(SEARCH('Category Rules'!$B$6:$B$75,$C193)))*('Category Rules'!$B$6:$B$75&lt;&gt;"")),'Category Rules'!$C$6:$C$75),"Uncategorized"))</f>
        <v/>
      </c>
      <c r="F193" s="108" t="n"/>
      <c r="G193" s="106">
        <f>IF($C193="","",IF($F193&lt;&gt;"",$F193,$E193))</f>
        <v/>
      </c>
      <c r="H193" s="82">
        <f>IF($B193="","",TEXT($B193,"mmm yyyy"))</f>
        <v/>
      </c>
    </row>
    <row r="194" ht="18" customHeight="1">
      <c r="A194" s="10" t="n"/>
      <c r="B194" s="109" t="n"/>
      <c r="C194" s="84" t="n"/>
      <c r="D194" s="52" t="n"/>
      <c r="E194" s="101">
        <f>IF($C194="","",IFERROR(LOOKUP(2,1/((ISNUMBER(SEARCH('Category Rules'!$B$6:$B$75,$C194)))*('Category Rules'!$B$6:$B$75&lt;&gt;"")),'Category Rules'!$C$6:$C$75),"Uncategorized"))</f>
        <v/>
      </c>
      <c r="F194" s="108" t="n"/>
      <c r="G194" s="103">
        <f>IF($C194="","",IF($F194&lt;&gt;"",$F194,$E194))</f>
        <v/>
      </c>
      <c r="H194" s="85">
        <f>IF($B194="","",TEXT($B194,"mmm yyyy"))</f>
        <v/>
      </c>
    </row>
    <row r="195" ht="18" customHeight="1">
      <c r="A195" s="14" t="n"/>
      <c r="B195" s="107" t="n"/>
      <c r="C195" s="81" t="n"/>
      <c r="D195" s="59" t="n"/>
      <c r="E195" s="104">
        <f>IF($C195="","",IFERROR(LOOKUP(2,1/((ISNUMBER(SEARCH('Category Rules'!$B$6:$B$75,$C195)))*('Category Rules'!$B$6:$B$75&lt;&gt;"")),'Category Rules'!$C$6:$C$75),"Uncategorized"))</f>
        <v/>
      </c>
      <c r="F195" s="108" t="n"/>
      <c r="G195" s="106">
        <f>IF($C195="","",IF($F195&lt;&gt;"",$F195,$E195))</f>
        <v/>
      </c>
      <c r="H195" s="82">
        <f>IF($B195="","",TEXT($B195,"mmm yyyy"))</f>
        <v/>
      </c>
    </row>
    <row r="196" ht="18" customHeight="1">
      <c r="A196" s="10" t="n"/>
      <c r="B196" s="109" t="n"/>
      <c r="C196" s="84" t="n"/>
      <c r="D196" s="52" t="n"/>
      <c r="E196" s="101">
        <f>IF($C196="","",IFERROR(LOOKUP(2,1/((ISNUMBER(SEARCH('Category Rules'!$B$6:$B$75,$C196)))*('Category Rules'!$B$6:$B$75&lt;&gt;"")),'Category Rules'!$C$6:$C$75),"Uncategorized"))</f>
        <v/>
      </c>
      <c r="F196" s="108" t="n"/>
      <c r="G196" s="103">
        <f>IF($C196="","",IF($F196&lt;&gt;"",$F196,$E196))</f>
        <v/>
      </c>
      <c r="H196" s="85">
        <f>IF($B196="","",TEXT($B196,"mmm yyyy"))</f>
        <v/>
      </c>
    </row>
    <row r="197" ht="18" customHeight="1">
      <c r="A197" s="14" t="n"/>
      <c r="B197" s="107" t="n"/>
      <c r="C197" s="81" t="n"/>
      <c r="D197" s="59" t="n"/>
      <c r="E197" s="104">
        <f>IF($C197="","",IFERROR(LOOKUP(2,1/((ISNUMBER(SEARCH('Category Rules'!$B$6:$B$75,$C197)))*('Category Rules'!$B$6:$B$75&lt;&gt;"")),'Category Rules'!$C$6:$C$75),"Uncategorized"))</f>
        <v/>
      </c>
      <c r="F197" s="108" t="n"/>
      <c r="G197" s="106">
        <f>IF($C197="","",IF($F197&lt;&gt;"",$F197,$E197))</f>
        <v/>
      </c>
      <c r="H197" s="82">
        <f>IF($B197="","",TEXT($B197,"mmm yyyy"))</f>
        <v/>
      </c>
    </row>
    <row r="198" ht="18" customHeight="1">
      <c r="A198" s="10" t="n"/>
      <c r="B198" s="109" t="n"/>
      <c r="C198" s="84" t="n"/>
      <c r="D198" s="52" t="n"/>
      <c r="E198" s="101">
        <f>IF($C198="","",IFERROR(LOOKUP(2,1/((ISNUMBER(SEARCH('Category Rules'!$B$6:$B$75,$C198)))*('Category Rules'!$B$6:$B$75&lt;&gt;"")),'Category Rules'!$C$6:$C$75),"Uncategorized"))</f>
        <v/>
      </c>
      <c r="F198" s="108" t="n"/>
      <c r="G198" s="103">
        <f>IF($C198="","",IF($F198&lt;&gt;"",$F198,$E198))</f>
        <v/>
      </c>
      <c r="H198" s="85">
        <f>IF($B198="","",TEXT($B198,"mmm yyyy"))</f>
        <v/>
      </c>
    </row>
    <row r="199" ht="18" customHeight="1">
      <c r="A199" s="14" t="n"/>
      <c r="B199" s="107" t="n"/>
      <c r="C199" s="81" t="n"/>
      <c r="D199" s="59" t="n"/>
      <c r="E199" s="104">
        <f>IF($C199="","",IFERROR(LOOKUP(2,1/((ISNUMBER(SEARCH('Category Rules'!$B$6:$B$75,$C199)))*('Category Rules'!$B$6:$B$75&lt;&gt;"")),'Category Rules'!$C$6:$C$75),"Uncategorized"))</f>
        <v/>
      </c>
      <c r="F199" s="108" t="n"/>
      <c r="G199" s="106">
        <f>IF($C199="","",IF($F199&lt;&gt;"",$F199,$E199))</f>
        <v/>
      </c>
      <c r="H199" s="82">
        <f>IF($B199="","",TEXT($B199,"mmm yyyy"))</f>
        <v/>
      </c>
    </row>
    <row r="200" ht="18" customHeight="1">
      <c r="A200" s="10" t="n"/>
      <c r="B200" s="109" t="n"/>
      <c r="C200" s="84" t="n"/>
      <c r="D200" s="52" t="n"/>
      <c r="E200" s="101">
        <f>IF($C200="","",IFERROR(LOOKUP(2,1/((ISNUMBER(SEARCH('Category Rules'!$B$6:$B$75,$C200)))*('Category Rules'!$B$6:$B$75&lt;&gt;"")),'Category Rules'!$C$6:$C$75),"Uncategorized"))</f>
        <v/>
      </c>
      <c r="F200" s="108" t="n"/>
      <c r="G200" s="103">
        <f>IF($C200="","",IF($F200&lt;&gt;"",$F200,$E200))</f>
        <v/>
      </c>
      <c r="H200" s="85">
        <f>IF($B200="","",TEXT($B200,"mmm yyyy"))</f>
        <v/>
      </c>
    </row>
    <row r="201" ht="18" customHeight="1">
      <c r="A201" s="14" t="n"/>
      <c r="B201" s="107" t="n"/>
      <c r="C201" s="81" t="n"/>
      <c r="D201" s="59" t="n"/>
      <c r="E201" s="104">
        <f>IF($C201="","",IFERROR(LOOKUP(2,1/((ISNUMBER(SEARCH('Category Rules'!$B$6:$B$75,$C201)))*('Category Rules'!$B$6:$B$75&lt;&gt;"")),'Category Rules'!$C$6:$C$75),"Uncategorized"))</f>
        <v/>
      </c>
      <c r="F201" s="108" t="n"/>
      <c r="G201" s="106">
        <f>IF($C201="","",IF($F201&lt;&gt;"",$F201,$E201))</f>
        <v/>
      </c>
      <c r="H201" s="82">
        <f>IF($B201="","",TEXT($B201,"mmm yyyy"))</f>
        <v/>
      </c>
    </row>
    <row r="202" ht="18" customHeight="1">
      <c r="A202" s="10" t="n"/>
      <c r="B202" s="109" t="n"/>
      <c r="C202" s="84" t="n"/>
      <c r="D202" s="52" t="n"/>
      <c r="E202" s="101">
        <f>IF($C202="","",IFERROR(LOOKUP(2,1/((ISNUMBER(SEARCH('Category Rules'!$B$6:$B$75,$C202)))*('Category Rules'!$B$6:$B$75&lt;&gt;"")),'Category Rules'!$C$6:$C$75),"Uncategorized"))</f>
        <v/>
      </c>
      <c r="F202" s="108" t="n"/>
      <c r="G202" s="103">
        <f>IF($C202="","",IF($F202&lt;&gt;"",$F202,$E202))</f>
        <v/>
      </c>
      <c r="H202" s="85">
        <f>IF($B202="","",TEXT($B202,"mmm yyyy"))</f>
        <v/>
      </c>
    </row>
    <row r="203" ht="18" customHeight="1">
      <c r="A203" s="14" t="n"/>
      <c r="B203" s="107" t="n"/>
      <c r="C203" s="81" t="n"/>
      <c r="D203" s="59" t="n"/>
      <c r="E203" s="104">
        <f>IF($C203="","",IFERROR(LOOKUP(2,1/((ISNUMBER(SEARCH('Category Rules'!$B$6:$B$75,$C203)))*('Category Rules'!$B$6:$B$75&lt;&gt;"")),'Category Rules'!$C$6:$C$75),"Uncategorized"))</f>
        <v/>
      </c>
      <c r="F203" s="108" t="n"/>
      <c r="G203" s="106">
        <f>IF($C203="","",IF($F203&lt;&gt;"",$F203,$E203))</f>
        <v/>
      </c>
      <c r="H203" s="82">
        <f>IF($B203="","",TEXT($B203,"mmm yyyy"))</f>
        <v/>
      </c>
    </row>
    <row r="204" ht="18" customHeight="1">
      <c r="A204" s="10" t="n"/>
      <c r="B204" s="109" t="n"/>
      <c r="C204" s="84" t="n"/>
      <c r="D204" s="52" t="n"/>
      <c r="E204" s="101">
        <f>IF($C204="","",IFERROR(LOOKUP(2,1/((ISNUMBER(SEARCH('Category Rules'!$B$6:$B$75,$C204)))*('Category Rules'!$B$6:$B$75&lt;&gt;"")),'Category Rules'!$C$6:$C$75),"Uncategorized"))</f>
        <v/>
      </c>
      <c r="F204" s="108" t="n"/>
      <c r="G204" s="103">
        <f>IF($C204="","",IF($F204&lt;&gt;"",$F204,$E204))</f>
        <v/>
      </c>
      <c r="H204" s="85">
        <f>IF($B204="","",TEXT($B204,"mmm yyyy"))</f>
        <v/>
      </c>
    </row>
    <row r="205" ht="18" customHeight="1">
      <c r="A205" s="14" t="n"/>
      <c r="B205" s="107" t="n"/>
      <c r="C205" s="81" t="n"/>
      <c r="D205" s="59" t="n"/>
      <c r="E205" s="104">
        <f>IF($C205="","",IFERROR(LOOKUP(2,1/((ISNUMBER(SEARCH('Category Rules'!$B$6:$B$75,$C205)))*('Category Rules'!$B$6:$B$75&lt;&gt;"")),'Category Rules'!$C$6:$C$75),"Uncategorized"))</f>
        <v/>
      </c>
      <c r="F205" s="108" t="n"/>
      <c r="G205" s="106">
        <f>IF($C205="","",IF($F205&lt;&gt;"",$F205,$E205))</f>
        <v/>
      </c>
      <c r="H205" s="82">
        <f>IF($B205="","",TEXT($B205,"mmm yyyy"))</f>
        <v/>
      </c>
    </row>
  </sheetData>
  <mergeCells count="3">
    <mergeCell ref="A3:H3"/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3" customWidth="1" min="3" max="3"/>
    <col width="13" customWidth="1" min="4" max="4"/>
    <col width="16" customWidth="1" min="5" max="5"/>
    <col width="2" customWidth="1" min="6" max="6"/>
  </cols>
  <sheetData>
    <row r="1" ht="32" customHeight="1">
      <c r="A1" s="41" t="inlineStr">
        <is>
          <t>MONTHLY ACTUALS vs TARGET</t>
        </is>
      </c>
    </row>
    <row r="2" ht="18" customHeight="1">
      <c r="A2" s="2" t="inlineStr">
        <is>
          <t>Type a month in the blue cell below → actuals pull from your pasted transactions automatically.</t>
        </is>
      </c>
    </row>
    <row r="3" ht="8" customHeight="1"/>
    <row r="4" ht="26" customHeight="1">
      <c r="B4" s="39" t="inlineStr">
        <is>
          <t>Month to view:</t>
        </is>
      </c>
      <c r="C4" s="110" t="inlineStr">
        <is>
          <t>Jun 2026</t>
        </is>
      </c>
      <c r="D4" s="57" t="inlineStr">
        <is>
          <t>(type like 'Jun 2026')</t>
        </is>
      </c>
    </row>
    <row r="5" ht="4" customHeight="1"/>
    <row r="6" ht="22" customHeight="1">
      <c r="B6" s="42" t="inlineStr">
        <is>
          <t>CATEGORY</t>
        </is>
      </c>
      <c r="C6" s="47" t="inlineStr">
        <is>
          <t>TARGET</t>
        </is>
      </c>
      <c r="D6" s="97" t="inlineStr">
        <is>
          <t>ACTUAL</t>
        </is>
      </c>
      <c r="E6" s="50" t="inlineStr">
        <is>
          <t>+ UNDER  /  − OVER</t>
        </is>
      </c>
    </row>
    <row r="7" ht="20" customHeight="1">
      <c r="B7" s="111" t="inlineStr">
        <is>
          <t>Power</t>
        </is>
      </c>
      <c r="C7" s="61" t="n">
        <v>453</v>
      </c>
      <c r="D7" s="112">
        <f>SUMIFS(Transactions!$D$6:$D$205,Transactions!$G$6:$G$205,$B7,Transactions!$H$6:$H$205,$C$4)</f>
        <v/>
      </c>
      <c r="E7" s="73">
        <f>C7-D7</f>
        <v/>
      </c>
    </row>
    <row r="8" ht="20" customHeight="1">
      <c r="B8" s="113" t="inlineStr">
        <is>
          <t>Water</t>
        </is>
      </c>
      <c r="C8" s="54" t="n">
        <v>90</v>
      </c>
      <c r="D8" s="114">
        <f>SUMIFS(Transactions!$D$6:$D$205,Transactions!$G$6:$G$205,$B8,Transactions!$H$6:$H$205,$C$4)</f>
        <v/>
      </c>
      <c r="E8" s="70">
        <f>C8-D8</f>
        <v/>
      </c>
    </row>
    <row r="9" ht="20" customHeight="1">
      <c r="B9" s="111" t="inlineStr">
        <is>
          <t>Internet</t>
        </is>
      </c>
      <c r="C9" s="61" t="n">
        <v>64</v>
      </c>
      <c r="D9" s="112">
        <f>SUMIFS(Transactions!$D$6:$D$205,Transactions!$G$6:$G$205,$B9,Transactions!$H$6:$H$205,$C$4)</f>
        <v/>
      </c>
      <c r="E9" s="73">
        <f>C9-D9</f>
        <v/>
      </c>
    </row>
    <row r="10" ht="20" customHeight="1">
      <c r="B10" s="113" t="inlineStr">
        <is>
          <t>Trash</t>
        </is>
      </c>
      <c r="C10" s="54" t="n">
        <v>23</v>
      </c>
      <c r="D10" s="114">
        <f>SUMIFS(Transactions!$D$6:$D$205,Transactions!$G$6:$G$205,$B10,Transactions!$H$6:$H$205,$C$4)</f>
        <v/>
      </c>
      <c r="E10" s="70">
        <f>C10-D10</f>
        <v/>
      </c>
    </row>
    <row r="11" ht="20" customHeight="1">
      <c r="B11" s="111" t="inlineStr">
        <is>
          <t>Gas</t>
        </is>
      </c>
      <c r="C11" s="61" t="n">
        <v>430</v>
      </c>
      <c r="D11" s="112">
        <f>SUMIFS(Transactions!$D$6:$D$205,Transactions!$G$6:$G$205,$B11,Transactions!$H$6:$H$205,$C$4)</f>
        <v/>
      </c>
      <c r="E11" s="73">
        <f>C11-D11</f>
        <v/>
      </c>
    </row>
    <row r="12" ht="20" customHeight="1">
      <c r="B12" s="113" t="inlineStr">
        <is>
          <t>Groceries</t>
        </is>
      </c>
      <c r="C12" s="54" t="n">
        <v>400</v>
      </c>
      <c r="D12" s="114">
        <f>SUMIFS(Transactions!$D$6:$D$205,Transactions!$G$6:$G$205,$B12,Transactions!$H$6:$H$205,$C$4)</f>
        <v/>
      </c>
      <c r="E12" s="70">
        <f>C12-D12</f>
        <v/>
      </c>
    </row>
    <row r="13" ht="20" customHeight="1">
      <c r="B13" s="111" t="inlineStr">
        <is>
          <t>Spending</t>
        </is>
      </c>
      <c r="C13" s="61" t="n">
        <v>500</v>
      </c>
      <c r="D13" s="112">
        <f>SUMIFS(Transactions!$D$6:$D$205,Transactions!$G$6:$G$205,$B13,Transactions!$H$6:$H$205,$C$4)</f>
        <v/>
      </c>
      <c r="E13" s="73">
        <f>C13-D13</f>
        <v/>
      </c>
    </row>
    <row r="14" ht="24" customHeight="1">
      <c r="B14" s="115" t="inlineStr">
        <is>
          <t>TOTAL</t>
        </is>
      </c>
      <c r="C14" s="116">
        <f>SUM(C7:C13)</f>
        <v/>
      </c>
      <c r="D14" s="116">
        <f>SUM(D7:D13)</f>
        <v/>
      </c>
      <c r="E14" s="116">
        <f>C14-D14</f>
        <v/>
      </c>
    </row>
    <row r="16" ht="52" customHeight="1">
      <c r="A16" s="90" t="inlineStr">
        <is>
          <t>How it works: paste transactions on the Transactions tab → AUTO CAT fills from Category Rules → this table sums by category for the month you typed. Utilities (Water/Power/Internet/Trash) are tracked separately in bills.csv + Monthly Check-In. Green + UNDER means you're below target — any surplus on flex categories sweeps to savings.</t>
        </is>
      </c>
    </row>
  </sheetData>
  <mergeCells count="3">
    <mergeCell ref="A2:E2"/>
    <mergeCell ref="A16:E16"/>
    <mergeCell ref="A1:E1"/>
  </mergeCells>
  <conditionalFormatting sqref="E7:E13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2026-06-29T18:26:23Z</dcterms:created>
  <dcterms:modified xsi:type="dcterms:W3CDTF">2026-06-29T18:26:23Z</dcterms:modified>
</cp:coreProperties>
</file>